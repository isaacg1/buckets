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yuanyao/Desktop/cts MSJ/Simulation Data/"/>
    </mc:Choice>
  </mc:AlternateContent>
  <xr:revisionPtr revIDLastSave="0" documentId="13_ncr:1_{27C0195B-AAC6-4044-9FA1-0572BCF759F2}" xr6:coauthVersionLast="47" xr6:coauthVersionMax="47" xr10:uidLastSave="{00000000-0000-0000-0000-000000000000}"/>
  <bookViews>
    <workbookView xWindow="0" yWindow="660" windowWidth="29400" windowHeight="18460" firstSheet="1" activeTab="11" xr2:uid="{C0A0A82A-A10B-8743-AAB7-9D851FFF700B}"/>
  </bookViews>
  <sheets>
    <sheet name="Uniform-MW" sheetId="28" r:id="rId1"/>
    <sheet name="Uniform-MWBack" sheetId="30" r:id="rId2"/>
    <sheet name="Uniform-Comp" sheetId="29" r:id="rId3"/>
    <sheet name="TN(0.5,1)-EMW" sheetId="33" r:id="rId4"/>
    <sheet name="TN(0.5,1)-Test" sheetId="34" r:id="rId5"/>
    <sheet name="Tri(1)-test" sheetId="43" r:id="rId6"/>
    <sheet name="Blomax(2,1)" sheetId="42" r:id="rId7"/>
    <sheet name="Borg_Memory_Rescaled" sheetId="52" r:id="rId8"/>
    <sheet name="Borg_CPU_Rescaled" sheetId="53" r:id="rId9"/>
    <sheet name="IsoTri" sheetId="54" r:id="rId10"/>
    <sheet name="8-Comp" sheetId="55" r:id="rId11"/>
    <sheet name="16-Comp" sheetId="5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4" l="1"/>
  <c r="F4" i="54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2" i="54"/>
  <c r="G3" i="54"/>
  <c r="G4" i="54"/>
  <c r="G5" i="54"/>
  <c r="G6" i="54"/>
  <c r="G7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2" i="54"/>
  <c r="G33" i="54"/>
  <c r="G34" i="54"/>
  <c r="G35" i="54"/>
  <c r="G36" i="54"/>
  <c r="G37" i="54"/>
  <c r="G2" i="54"/>
  <c r="D20" i="43"/>
  <c r="D22" i="43"/>
  <c r="D23" i="43"/>
  <c r="B15" i="43"/>
  <c r="B16" i="43"/>
  <c r="E7" i="43"/>
  <c r="E9" i="43"/>
  <c r="E10" i="43"/>
  <c r="E11" i="43"/>
  <c r="E12" i="43"/>
  <c r="E7" i="42"/>
  <c r="E8" i="42"/>
  <c r="E9" i="42"/>
  <c r="E10" i="42"/>
  <c r="E11" i="42"/>
  <c r="E12" i="42"/>
  <c r="E13" i="42"/>
  <c r="E14" i="42"/>
  <c r="B10" i="33"/>
  <c r="B13" i="33"/>
  <c r="B15" i="33"/>
  <c r="B16" i="33"/>
  <c r="E5" i="34"/>
  <c r="E8" i="34"/>
  <c r="E10" i="34"/>
  <c r="E11" i="34"/>
  <c r="B8" i="34"/>
  <c r="B11" i="34"/>
  <c r="B13" i="34"/>
  <c r="B14" i="34"/>
  <c r="D17" i="34"/>
  <c r="D18" i="34"/>
  <c r="D19" i="34"/>
  <c r="D20" i="34"/>
  <c r="D21" i="34"/>
  <c r="D22" i="34"/>
  <c r="D23" i="34"/>
  <c r="D18" i="29"/>
  <c r="D20" i="29"/>
  <c r="D22" i="29"/>
  <c r="D23" i="29"/>
  <c r="E7" i="29"/>
  <c r="E9" i="29"/>
  <c r="E10" i="29"/>
  <c r="E11" i="29"/>
  <c r="B7" i="29"/>
  <c r="B9" i="29"/>
  <c r="B11" i="29"/>
  <c r="B13" i="29"/>
  <c r="B14" i="29"/>
  <c r="C9" i="28"/>
  <c r="C10" i="28"/>
  <c r="C11" i="28"/>
  <c r="C12" i="28"/>
  <c r="C13" i="28"/>
  <c r="C14" i="28"/>
  <c r="C15" i="28"/>
  <c r="C16" i="28"/>
  <c r="F67" i="53"/>
  <c r="F69" i="53"/>
  <c r="F71" i="53"/>
  <c r="F62" i="53"/>
  <c r="F57" i="53"/>
  <c r="F52" i="53"/>
  <c r="F47" i="53"/>
  <c r="F42" i="53"/>
  <c r="F36" i="53"/>
  <c r="F32" i="53"/>
  <c r="F27" i="53"/>
  <c r="F22" i="53"/>
  <c r="F17" i="53"/>
  <c r="F12" i="53"/>
  <c r="F6" i="53"/>
  <c r="F2" i="53"/>
  <c r="F3" i="52"/>
  <c r="F4" i="52"/>
  <c r="F5" i="52"/>
  <c r="F6" i="52"/>
  <c r="F7" i="52"/>
  <c r="F8" i="52"/>
  <c r="F2" i="52"/>
  <c r="G103" i="53"/>
  <c r="E69" i="53"/>
  <c r="G71" i="53"/>
  <c r="E6" i="53"/>
  <c r="E12" i="53"/>
  <c r="E17" i="53"/>
  <c r="E22" i="53"/>
  <c r="E27" i="53"/>
  <c r="E32" i="53"/>
  <c r="E36" i="53"/>
  <c r="E42" i="53"/>
  <c r="E47" i="53"/>
  <c r="E52" i="53"/>
  <c r="E57" i="53"/>
  <c r="E62" i="53"/>
  <c r="E67" i="53"/>
  <c r="E71" i="53"/>
  <c r="E2" i="53"/>
  <c r="E9" i="54"/>
  <c r="E10" i="54"/>
  <c r="D17" i="54"/>
  <c r="D18" i="54"/>
  <c r="G101" i="53"/>
  <c r="G105" i="53"/>
  <c r="C2" i="53"/>
  <c r="G2" i="53"/>
  <c r="B18" i="56"/>
  <c r="D18" i="56"/>
  <c r="E18" i="56"/>
  <c r="D19" i="56"/>
  <c r="C2" i="56"/>
  <c r="D2" i="56"/>
  <c r="E2" i="56"/>
  <c r="C3" i="56"/>
  <c r="D3" i="56"/>
  <c r="E3" i="56"/>
  <c r="C4" i="56"/>
  <c r="D4" i="56"/>
  <c r="E4" i="56"/>
  <c r="C5" i="56"/>
  <c r="D5" i="56"/>
  <c r="E5" i="56"/>
  <c r="C6" i="56"/>
  <c r="D6" i="56"/>
  <c r="E6" i="56"/>
  <c r="C7" i="56"/>
  <c r="D7" i="56"/>
  <c r="E7" i="56"/>
  <c r="C8" i="56"/>
  <c r="D8" i="56"/>
  <c r="E8" i="56"/>
  <c r="C9" i="56"/>
  <c r="D9" i="56"/>
  <c r="E9" i="56"/>
  <c r="C10" i="56"/>
  <c r="D10" i="56"/>
  <c r="E10" i="56"/>
  <c r="C11" i="56"/>
  <c r="D11" i="56"/>
  <c r="E11" i="56"/>
  <c r="C12" i="56"/>
  <c r="D12" i="56"/>
  <c r="E12" i="56"/>
  <c r="C13" i="56"/>
  <c r="D13" i="56"/>
  <c r="E13" i="56"/>
  <c r="C14" i="56"/>
  <c r="D14" i="56"/>
  <c r="E14" i="56"/>
  <c r="C15" i="56"/>
  <c r="D15" i="56"/>
  <c r="E15" i="56"/>
  <c r="C16" i="56"/>
  <c r="D16" i="56"/>
  <c r="E16" i="56"/>
  <c r="C17" i="56"/>
  <c r="D17" i="56"/>
  <c r="E17" i="56"/>
  <c r="B3" i="56"/>
  <c r="B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2" i="56"/>
  <c r="B3" i="55"/>
  <c r="C3" i="55"/>
  <c r="D3" i="55"/>
  <c r="E3" i="55"/>
  <c r="B4" i="55"/>
  <c r="C4" i="55"/>
  <c r="D4" i="55"/>
  <c r="E4" i="55"/>
  <c r="B5" i="55"/>
  <c r="C5" i="55"/>
  <c r="D5" i="55"/>
  <c r="E5" i="55"/>
  <c r="B6" i="55"/>
  <c r="C6" i="55"/>
  <c r="D6" i="55"/>
  <c r="E6" i="55"/>
  <c r="B7" i="55"/>
  <c r="C7" i="55"/>
  <c r="D7" i="55"/>
  <c r="E7" i="55"/>
  <c r="B8" i="55"/>
  <c r="C8" i="55"/>
  <c r="D8" i="55"/>
  <c r="E8" i="55"/>
  <c r="B9" i="55"/>
  <c r="C9" i="55"/>
  <c r="D9" i="55"/>
  <c r="E9" i="55"/>
  <c r="B10" i="55"/>
  <c r="C10" i="55"/>
  <c r="D10" i="55"/>
  <c r="E10" i="55"/>
  <c r="B11" i="55"/>
  <c r="C11" i="55"/>
  <c r="D11" i="55"/>
  <c r="E11" i="55"/>
  <c r="B12" i="55"/>
  <c r="C12" i="55"/>
  <c r="D12" i="55"/>
  <c r="E12" i="55"/>
  <c r="B13" i="55"/>
  <c r="C13" i="55"/>
  <c r="D13" i="55"/>
  <c r="E13" i="55"/>
  <c r="B14" i="55"/>
  <c r="C14" i="55"/>
  <c r="D14" i="55"/>
  <c r="E14" i="55"/>
  <c r="B15" i="55"/>
  <c r="C15" i="55"/>
  <c r="D15" i="55"/>
  <c r="E15" i="55"/>
  <c r="B16" i="55"/>
  <c r="C16" i="55"/>
  <c r="D16" i="55"/>
  <c r="E16" i="55"/>
  <c r="D17" i="55"/>
  <c r="E17" i="55"/>
  <c r="D18" i="55"/>
  <c r="E18" i="55"/>
  <c r="D19" i="55"/>
  <c r="D20" i="55"/>
  <c r="C2" i="55"/>
  <c r="D2" i="55"/>
  <c r="E2" i="55"/>
  <c r="B2" i="55"/>
  <c r="E3" i="54"/>
  <c r="E4" i="54"/>
  <c r="E5" i="54"/>
  <c r="E6" i="54"/>
  <c r="E7" i="54"/>
  <c r="E8" i="54"/>
  <c r="D3" i="54"/>
  <c r="D4" i="54"/>
  <c r="D5" i="54"/>
  <c r="D6" i="54"/>
  <c r="D7" i="54"/>
  <c r="D8" i="54"/>
  <c r="D9" i="54"/>
  <c r="D10" i="54"/>
  <c r="D11" i="54"/>
  <c r="D12" i="54"/>
  <c r="D13" i="54"/>
  <c r="D14" i="54"/>
  <c r="D15" i="54"/>
  <c r="D16" i="54"/>
  <c r="C3" i="54"/>
  <c r="C4" i="54"/>
  <c r="C5" i="54"/>
  <c r="C6" i="54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B3" i="54"/>
  <c r="B4" i="54"/>
  <c r="B5" i="54"/>
  <c r="B6" i="54"/>
  <c r="B7" i="54"/>
  <c r="B8" i="54"/>
  <c r="C2" i="54"/>
  <c r="D2" i="54"/>
  <c r="E2" i="54"/>
  <c r="B2" i="54"/>
  <c r="G12" i="53"/>
  <c r="G17" i="53"/>
  <c r="G22" i="53"/>
  <c r="G27" i="53"/>
  <c r="G32" i="53"/>
  <c r="G36" i="53"/>
  <c r="G42" i="53"/>
  <c r="G47" i="53"/>
  <c r="G52" i="53"/>
  <c r="G57" i="53"/>
  <c r="G62" i="53"/>
  <c r="G67" i="53"/>
  <c r="G77" i="53"/>
  <c r="G82" i="53"/>
  <c r="G87" i="53"/>
  <c r="G92" i="53"/>
  <c r="G97" i="53"/>
  <c r="C12" i="53"/>
  <c r="C17" i="53"/>
  <c r="C22" i="53"/>
  <c r="C27" i="53"/>
  <c r="C32" i="53"/>
  <c r="C36" i="53"/>
  <c r="B4" i="53"/>
  <c r="B6" i="53"/>
  <c r="C6" i="53"/>
  <c r="G6" i="53"/>
  <c r="B2" i="53"/>
  <c r="B3" i="52"/>
  <c r="C3" i="52"/>
  <c r="D3" i="52"/>
  <c r="E3" i="52"/>
  <c r="G3" i="52"/>
  <c r="B4" i="52"/>
  <c r="C4" i="52"/>
  <c r="D4" i="52"/>
  <c r="E4" i="52"/>
  <c r="G4" i="52"/>
  <c r="B5" i="52"/>
  <c r="C5" i="52"/>
  <c r="D5" i="52"/>
  <c r="E5" i="52"/>
  <c r="G5" i="52"/>
  <c r="B6" i="52"/>
  <c r="C6" i="52"/>
  <c r="D6" i="52"/>
  <c r="E6" i="52"/>
  <c r="G6" i="52"/>
  <c r="B7" i="52"/>
  <c r="C7" i="52"/>
  <c r="D7" i="52"/>
  <c r="E7" i="52"/>
  <c r="G7" i="52"/>
  <c r="B8" i="52"/>
  <c r="C8" i="52"/>
  <c r="D8" i="52"/>
  <c r="E8" i="52"/>
  <c r="G8" i="52"/>
  <c r="B9" i="52"/>
  <c r="C9" i="52"/>
  <c r="G9" i="52"/>
  <c r="B10" i="52"/>
  <c r="C10" i="52"/>
  <c r="G10" i="52"/>
  <c r="B11" i="52"/>
  <c r="C11" i="52"/>
  <c r="G11" i="52"/>
  <c r="C12" i="52"/>
  <c r="G12" i="52"/>
  <c r="C13" i="52"/>
  <c r="G13" i="52"/>
  <c r="C14" i="52"/>
  <c r="G14" i="52"/>
  <c r="C15" i="52"/>
  <c r="G15" i="52"/>
  <c r="C16" i="52"/>
  <c r="G16" i="52"/>
  <c r="C17" i="52"/>
  <c r="G17" i="52"/>
  <c r="C18" i="52"/>
  <c r="G18" i="52"/>
  <c r="G19" i="52"/>
  <c r="G20" i="52"/>
  <c r="G21" i="52"/>
  <c r="C2" i="52"/>
  <c r="D2" i="52"/>
  <c r="E2" i="52"/>
  <c r="G2" i="52"/>
  <c r="B2" i="52"/>
  <c r="B3" i="42"/>
  <c r="C3" i="42"/>
  <c r="D3" i="42"/>
  <c r="E3" i="42"/>
  <c r="G3" i="42"/>
  <c r="F3" i="42"/>
  <c r="B4" i="42"/>
  <c r="C4" i="42"/>
  <c r="D4" i="42"/>
  <c r="E4" i="42"/>
  <c r="G4" i="42"/>
  <c r="F4" i="42"/>
  <c r="B5" i="42"/>
  <c r="C5" i="42"/>
  <c r="D5" i="42"/>
  <c r="E5" i="42"/>
  <c r="G5" i="42"/>
  <c r="F5" i="42"/>
  <c r="B6" i="42"/>
  <c r="C6" i="42"/>
  <c r="D6" i="42"/>
  <c r="E6" i="42"/>
  <c r="G6" i="42"/>
  <c r="F6" i="42"/>
  <c r="B15" i="42"/>
  <c r="C15" i="42"/>
  <c r="D15" i="42"/>
  <c r="G15" i="42"/>
  <c r="F15" i="42"/>
  <c r="B16" i="42"/>
  <c r="C16" i="42"/>
  <c r="D16" i="42"/>
  <c r="G16" i="42"/>
  <c r="F16" i="42"/>
  <c r="C17" i="42"/>
  <c r="D17" i="42"/>
  <c r="G17" i="42"/>
  <c r="F17" i="42"/>
  <c r="C18" i="42"/>
  <c r="D18" i="42"/>
  <c r="G18" i="42"/>
  <c r="F18" i="42"/>
  <c r="C19" i="42"/>
  <c r="D19" i="42"/>
  <c r="G19" i="42"/>
  <c r="F19" i="42"/>
  <c r="C20" i="42"/>
  <c r="G20" i="42"/>
  <c r="F20" i="42"/>
  <c r="C21" i="42"/>
  <c r="G21" i="42"/>
  <c r="F21" i="42"/>
  <c r="C22" i="42"/>
  <c r="G22" i="42"/>
  <c r="F22" i="42"/>
  <c r="C23" i="42"/>
  <c r="G23" i="42"/>
  <c r="F23" i="42"/>
  <c r="C24" i="42"/>
  <c r="G24" i="42"/>
  <c r="F24" i="42"/>
  <c r="C25" i="42"/>
  <c r="F25" i="42"/>
  <c r="C26" i="42"/>
  <c r="F26" i="42"/>
  <c r="C27" i="42"/>
  <c r="F27" i="42"/>
  <c r="C28" i="42"/>
  <c r="F28" i="42"/>
  <c r="C29" i="42"/>
  <c r="F29" i="42"/>
  <c r="C30" i="42"/>
  <c r="F30" i="42"/>
  <c r="C31" i="42"/>
  <c r="F31" i="42"/>
  <c r="C32" i="42"/>
  <c r="F32" i="42"/>
  <c r="C33" i="42"/>
  <c r="F33" i="42"/>
  <c r="C2" i="42"/>
  <c r="D2" i="42"/>
  <c r="E2" i="42"/>
  <c r="G2" i="42"/>
  <c r="F2" i="42"/>
  <c r="B2" i="42"/>
  <c r="B3" i="43"/>
  <c r="C3" i="43"/>
  <c r="D3" i="43"/>
  <c r="E3" i="43"/>
  <c r="G3" i="43"/>
  <c r="F3" i="43"/>
  <c r="B4" i="43"/>
  <c r="C4" i="43"/>
  <c r="D4" i="43"/>
  <c r="E4" i="43"/>
  <c r="G4" i="43"/>
  <c r="F4" i="43"/>
  <c r="B5" i="43"/>
  <c r="C5" i="43"/>
  <c r="D5" i="43"/>
  <c r="E5" i="43"/>
  <c r="G5" i="43"/>
  <c r="F5" i="43"/>
  <c r="B6" i="43"/>
  <c r="C6" i="43"/>
  <c r="D6" i="43"/>
  <c r="E6" i="43"/>
  <c r="G6" i="43"/>
  <c r="F6" i="43"/>
  <c r="B7" i="43"/>
  <c r="C7" i="43"/>
  <c r="D7" i="43"/>
  <c r="G7" i="43"/>
  <c r="F7" i="43"/>
  <c r="B13" i="43"/>
  <c r="C13" i="43"/>
  <c r="D13" i="43"/>
  <c r="G13" i="43"/>
  <c r="F13" i="43"/>
  <c r="C17" i="43"/>
  <c r="D17" i="43"/>
  <c r="G17" i="43"/>
  <c r="F17" i="43"/>
  <c r="C18" i="43"/>
  <c r="D18" i="43"/>
  <c r="G18" i="43"/>
  <c r="F18" i="43"/>
  <c r="C24" i="43"/>
  <c r="G24" i="43"/>
  <c r="F24" i="43"/>
  <c r="C25" i="43"/>
  <c r="G25" i="43"/>
  <c r="F25" i="43"/>
  <c r="C26" i="43"/>
  <c r="G26" i="43"/>
  <c r="F26" i="43"/>
  <c r="C27" i="43"/>
  <c r="G27" i="43"/>
  <c r="F27" i="43"/>
  <c r="C28" i="43"/>
  <c r="G28" i="43"/>
  <c r="F28" i="43"/>
  <c r="C29" i="43"/>
  <c r="G29" i="43"/>
  <c r="F29" i="43"/>
  <c r="C30" i="43"/>
  <c r="G30" i="43"/>
  <c r="F30" i="43"/>
  <c r="C31" i="43"/>
  <c r="F31" i="43"/>
  <c r="C32" i="43"/>
  <c r="F32" i="43"/>
  <c r="C33" i="43"/>
  <c r="F33" i="43"/>
  <c r="C34" i="43"/>
  <c r="F34" i="43"/>
  <c r="C35" i="43"/>
  <c r="F35" i="43"/>
  <c r="C36" i="43"/>
  <c r="F36" i="43"/>
  <c r="C37" i="43"/>
  <c r="F37" i="43"/>
  <c r="C38" i="43"/>
  <c r="F38" i="43"/>
  <c r="C2" i="43"/>
  <c r="D2" i="43"/>
  <c r="E2" i="43"/>
  <c r="G2" i="43"/>
  <c r="F2" i="43"/>
  <c r="B2" i="43"/>
  <c r="B3" i="34"/>
  <c r="C3" i="34"/>
  <c r="D3" i="34"/>
  <c r="E3" i="34"/>
  <c r="G3" i="34"/>
  <c r="F3" i="34"/>
  <c r="B4" i="34"/>
  <c r="C4" i="34"/>
  <c r="D4" i="34"/>
  <c r="E4" i="34"/>
  <c r="G4" i="34"/>
  <c r="F4" i="34"/>
  <c r="B5" i="34"/>
  <c r="C5" i="34"/>
  <c r="D5" i="34"/>
  <c r="G5" i="34"/>
  <c r="F5" i="34"/>
  <c r="C15" i="34"/>
  <c r="D15" i="34"/>
  <c r="G15" i="34"/>
  <c r="F15" i="34"/>
  <c r="C16" i="34"/>
  <c r="D16" i="34"/>
  <c r="G16" i="34"/>
  <c r="F16" i="34"/>
  <c r="C25" i="34"/>
  <c r="G25" i="34"/>
  <c r="F25" i="34"/>
  <c r="C26" i="34"/>
  <c r="G26" i="34"/>
  <c r="F26" i="34"/>
  <c r="C27" i="34"/>
  <c r="G27" i="34"/>
  <c r="F27" i="34"/>
  <c r="C28" i="34"/>
  <c r="G28" i="34"/>
  <c r="F28" i="34"/>
  <c r="C29" i="34"/>
  <c r="G29" i="34"/>
  <c r="F29" i="34"/>
  <c r="C30" i="34"/>
  <c r="G30" i="34"/>
  <c r="F30" i="34"/>
  <c r="C31" i="34"/>
  <c r="G31" i="34"/>
  <c r="F31" i="34"/>
  <c r="C32" i="34"/>
  <c r="G32" i="34"/>
  <c r="F32" i="34"/>
  <c r="C33" i="34"/>
  <c r="G33" i="34"/>
  <c r="F33" i="34"/>
  <c r="C34" i="34"/>
  <c r="G34" i="34"/>
  <c r="F34" i="34"/>
  <c r="C35" i="34"/>
  <c r="G35" i="34"/>
  <c r="F35" i="34"/>
  <c r="C36" i="34"/>
  <c r="G36" i="34"/>
  <c r="F36" i="34"/>
  <c r="C37" i="34"/>
  <c r="G37" i="34"/>
  <c r="F37" i="34"/>
  <c r="C38" i="34"/>
  <c r="G38" i="34"/>
  <c r="F38" i="34"/>
  <c r="C39" i="34"/>
  <c r="G39" i="34"/>
  <c r="F39" i="34"/>
  <c r="C40" i="34"/>
  <c r="G40" i="34"/>
  <c r="F40" i="34"/>
  <c r="C41" i="34"/>
  <c r="G41" i="34"/>
  <c r="F41" i="34"/>
  <c r="C42" i="34"/>
  <c r="F42" i="34"/>
  <c r="C43" i="34"/>
  <c r="F43" i="34"/>
  <c r="F44" i="34"/>
  <c r="C2" i="34"/>
  <c r="D2" i="34"/>
  <c r="E2" i="34"/>
  <c r="G2" i="34"/>
  <c r="F2" i="34"/>
  <c r="B2" i="34"/>
  <c r="B3" i="33"/>
  <c r="C3" i="33"/>
  <c r="D3" i="33"/>
  <c r="E3" i="33"/>
  <c r="F3" i="33"/>
  <c r="G3" i="33"/>
  <c r="B4" i="33"/>
  <c r="C4" i="33"/>
  <c r="D4" i="33"/>
  <c r="E4" i="33"/>
  <c r="F4" i="33"/>
  <c r="G4" i="33"/>
  <c r="B5" i="33"/>
  <c r="C5" i="33"/>
  <c r="D5" i="33"/>
  <c r="E5" i="33"/>
  <c r="F5" i="33"/>
  <c r="G5" i="33"/>
  <c r="B6" i="33"/>
  <c r="C6" i="33"/>
  <c r="D6" i="33"/>
  <c r="E6" i="33"/>
  <c r="F6" i="33"/>
  <c r="G6" i="33"/>
  <c r="B7" i="33"/>
  <c r="C7" i="33"/>
  <c r="D7" i="33"/>
  <c r="E7" i="33"/>
  <c r="F7" i="33"/>
  <c r="G7" i="33"/>
  <c r="C17" i="33"/>
  <c r="D17" i="33"/>
  <c r="E17" i="33"/>
  <c r="F17" i="33"/>
  <c r="G17" i="33"/>
  <c r="C18" i="33"/>
  <c r="D18" i="33"/>
  <c r="E18" i="33"/>
  <c r="F18" i="33"/>
  <c r="G18" i="33"/>
  <c r="C19" i="33"/>
  <c r="D19" i="33"/>
  <c r="E19" i="33"/>
  <c r="F19" i="33"/>
  <c r="G19" i="33"/>
  <c r="C20" i="33"/>
  <c r="D20" i="33"/>
  <c r="E20" i="33"/>
  <c r="F20" i="33"/>
  <c r="G20" i="33"/>
  <c r="C21" i="33"/>
  <c r="D21" i="33"/>
  <c r="E21" i="33"/>
  <c r="F21" i="33"/>
  <c r="G21" i="33"/>
  <c r="C22" i="33"/>
  <c r="D22" i="33"/>
  <c r="E22" i="33"/>
  <c r="F22" i="33"/>
  <c r="G22" i="33"/>
  <c r="C23" i="33"/>
  <c r="D23" i="33"/>
  <c r="F23" i="33"/>
  <c r="G23" i="33"/>
  <c r="C24" i="33"/>
  <c r="D24" i="33"/>
  <c r="F24" i="33"/>
  <c r="G24" i="33"/>
  <c r="C25" i="33"/>
  <c r="D25" i="33"/>
  <c r="F25" i="33"/>
  <c r="G25" i="33"/>
  <c r="C26" i="33"/>
  <c r="D26" i="33"/>
  <c r="F26" i="33"/>
  <c r="G26" i="33"/>
  <c r="C27" i="33"/>
  <c r="D27" i="33"/>
  <c r="F27" i="33"/>
  <c r="G27" i="33"/>
  <c r="D28" i="33"/>
  <c r="F28" i="33"/>
  <c r="G28" i="33"/>
  <c r="D29" i="33"/>
  <c r="G29" i="33"/>
  <c r="D30" i="33"/>
  <c r="G30" i="33"/>
  <c r="D31" i="33"/>
  <c r="G31" i="33"/>
  <c r="D32" i="33"/>
  <c r="G32" i="33"/>
  <c r="D33" i="33"/>
  <c r="G33" i="33"/>
  <c r="G34" i="33"/>
  <c r="G35" i="33"/>
  <c r="G36" i="33"/>
  <c r="C2" i="33"/>
  <c r="D2" i="33"/>
  <c r="E2" i="33"/>
  <c r="F2" i="33"/>
  <c r="G2" i="33"/>
  <c r="B2" i="33"/>
  <c r="B3" i="29"/>
  <c r="C3" i="29"/>
  <c r="D3" i="29"/>
  <c r="E3" i="29"/>
  <c r="F3" i="29"/>
  <c r="B4" i="29"/>
  <c r="C4" i="29"/>
  <c r="D4" i="29"/>
  <c r="E4" i="29"/>
  <c r="F4" i="29"/>
  <c r="B5" i="29"/>
  <c r="C5" i="29"/>
  <c r="D5" i="29"/>
  <c r="E5" i="29"/>
  <c r="F5" i="29"/>
  <c r="C15" i="29"/>
  <c r="D15" i="29"/>
  <c r="F15" i="29"/>
  <c r="C16" i="29"/>
  <c r="D16" i="29"/>
  <c r="F16" i="29"/>
  <c r="C24" i="29"/>
  <c r="F24" i="29"/>
  <c r="C25" i="29"/>
  <c r="F25" i="29"/>
  <c r="C26" i="29"/>
  <c r="F26" i="29"/>
  <c r="C27" i="29"/>
  <c r="F27" i="29"/>
  <c r="C28" i="29"/>
  <c r="F28" i="29"/>
  <c r="C29" i="29"/>
  <c r="F29" i="29"/>
  <c r="C30" i="29"/>
  <c r="F30" i="29"/>
  <c r="C31" i="29"/>
  <c r="F31" i="29"/>
  <c r="C32" i="29"/>
  <c r="F32" i="29"/>
  <c r="C33" i="29"/>
  <c r="F33" i="29"/>
  <c r="C34" i="29"/>
  <c r="F34" i="29"/>
  <c r="C35" i="29"/>
  <c r="F35" i="29"/>
  <c r="C36" i="29"/>
  <c r="F36" i="29"/>
  <c r="C37" i="29"/>
  <c r="F37" i="29"/>
  <c r="C38" i="29"/>
  <c r="F38" i="29"/>
  <c r="C39" i="29"/>
  <c r="F39" i="29"/>
  <c r="C40" i="29"/>
  <c r="F40" i="29"/>
  <c r="C41" i="29"/>
  <c r="F41" i="29"/>
  <c r="C42" i="29"/>
  <c r="F42" i="29"/>
  <c r="F43" i="29"/>
  <c r="C2" i="29"/>
  <c r="D2" i="29"/>
  <c r="E2" i="29"/>
  <c r="F2" i="29"/>
  <c r="B2" i="29"/>
  <c r="B3" i="30"/>
  <c r="C3" i="30"/>
  <c r="D3" i="30"/>
  <c r="E3" i="30"/>
  <c r="F3" i="30"/>
  <c r="B4" i="30"/>
  <c r="C4" i="30"/>
  <c r="D4" i="30"/>
  <c r="E4" i="30"/>
  <c r="F4" i="30"/>
  <c r="B5" i="30"/>
  <c r="C5" i="30"/>
  <c r="D5" i="30"/>
  <c r="E5" i="30"/>
  <c r="F5" i="30"/>
  <c r="B6" i="30"/>
  <c r="C6" i="30"/>
  <c r="D6" i="30"/>
  <c r="E6" i="30"/>
  <c r="F6" i="30"/>
  <c r="B7" i="30"/>
  <c r="C7" i="30"/>
  <c r="D7" i="30"/>
  <c r="E7" i="30"/>
  <c r="F7" i="30"/>
  <c r="B8" i="30"/>
  <c r="C8" i="30"/>
  <c r="D8" i="30"/>
  <c r="E8" i="30"/>
  <c r="F8" i="30"/>
  <c r="B9" i="30"/>
  <c r="C9" i="30"/>
  <c r="D9" i="30"/>
  <c r="E9" i="30"/>
  <c r="F9" i="30"/>
  <c r="B10" i="30"/>
  <c r="C10" i="30"/>
  <c r="D10" i="30"/>
  <c r="E10" i="30"/>
  <c r="F10" i="30"/>
  <c r="B11" i="30"/>
  <c r="C11" i="30"/>
  <c r="D11" i="30"/>
  <c r="E11" i="30"/>
  <c r="F11" i="30"/>
  <c r="B12" i="30"/>
  <c r="D12" i="30"/>
  <c r="E12" i="30"/>
  <c r="F12" i="30"/>
  <c r="B13" i="30"/>
  <c r="D13" i="30"/>
  <c r="E13" i="30"/>
  <c r="F13" i="30"/>
  <c r="D14" i="30"/>
  <c r="E14" i="30"/>
  <c r="F14" i="30"/>
  <c r="D15" i="30"/>
  <c r="E15" i="30"/>
  <c r="F15" i="30"/>
  <c r="D16" i="30"/>
  <c r="E16" i="30"/>
  <c r="F16" i="30"/>
  <c r="D17" i="30"/>
  <c r="E17" i="30"/>
  <c r="F17" i="30"/>
  <c r="D18" i="30"/>
  <c r="E18" i="30"/>
  <c r="F18" i="30"/>
  <c r="D19" i="30"/>
  <c r="E19" i="30"/>
  <c r="F19" i="30"/>
  <c r="E20" i="30"/>
  <c r="F20" i="30"/>
  <c r="E21" i="30"/>
  <c r="F21" i="30"/>
  <c r="E22" i="30"/>
  <c r="F22" i="30"/>
  <c r="E23" i="30"/>
  <c r="F23" i="30"/>
  <c r="E24" i="30"/>
  <c r="F24" i="30"/>
  <c r="F25" i="30"/>
  <c r="F26" i="30"/>
  <c r="F27" i="30"/>
  <c r="C2" i="30"/>
  <c r="D2" i="30"/>
  <c r="E2" i="30"/>
  <c r="F2" i="30"/>
  <c r="B2" i="30"/>
  <c r="C2" i="28"/>
  <c r="D2" i="28"/>
  <c r="E2" i="28"/>
  <c r="F2" i="28"/>
  <c r="C3" i="28"/>
  <c r="D3" i="28"/>
  <c r="E3" i="28"/>
  <c r="F3" i="28"/>
  <c r="C4" i="28"/>
  <c r="D4" i="28"/>
  <c r="E4" i="28"/>
  <c r="F4" i="28"/>
  <c r="C5" i="28"/>
  <c r="D5" i="28"/>
  <c r="E5" i="28"/>
  <c r="F5" i="28"/>
  <c r="C6" i="28"/>
  <c r="D6" i="28"/>
  <c r="E6" i="28"/>
  <c r="F6" i="28"/>
  <c r="C7" i="28"/>
  <c r="D7" i="28"/>
  <c r="E7" i="28"/>
  <c r="F7" i="28"/>
  <c r="C8" i="28"/>
  <c r="D8" i="28"/>
  <c r="E8" i="28"/>
  <c r="F8" i="28"/>
  <c r="D9" i="28"/>
  <c r="E9" i="28"/>
  <c r="F9" i="28"/>
  <c r="D17" i="28"/>
  <c r="E17" i="28"/>
  <c r="F17" i="28"/>
  <c r="D18" i="28"/>
  <c r="E18" i="28"/>
  <c r="F18" i="28"/>
  <c r="D19" i="28"/>
  <c r="E19" i="28"/>
  <c r="F19" i="28"/>
  <c r="D20" i="28"/>
  <c r="E20" i="28"/>
  <c r="F20" i="28"/>
  <c r="D21" i="28"/>
  <c r="E21" i="28"/>
  <c r="F21" i="28"/>
  <c r="D22" i="28"/>
  <c r="E22" i="28"/>
  <c r="F22" i="28"/>
  <c r="D23" i="28"/>
  <c r="E23" i="28"/>
  <c r="F23" i="28"/>
  <c r="D24" i="28"/>
  <c r="E24" i="28"/>
  <c r="F24" i="28"/>
  <c r="E25" i="28"/>
  <c r="F25" i="28"/>
  <c r="E26" i="28"/>
  <c r="F26" i="28"/>
  <c r="E27" i="28"/>
  <c r="F27" i="28"/>
  <c r="E28" i="28"/>
  <c r="F28" i="28"/>
  <c r="E29" i="28"/>
  <c r="F29" i="28"/>
  <c r="F30" i="28"/>
  <c r="F31" i="28"/>
  <c r="B3" i="28"/>
  <c r="B4" i="28"/>
  <c r="B5" i="28"/>
  <c r="B6" i="28"/>
  <c r="B7" i="28"/>
  <c r="B8" i="28"/>
  <c r="B2" i="28"/>
</calcChain>
</file>

<file path=xl/sharedStrings.xml><?xml version="1.0" encoding="utf-8"?>
<sst xmlns="http://schemas.openxmlformats.org/spreadsheetml/2006/main" count="154" uniqueCount="28">
  <si>
    <t>Arrival Rate</t>
  </si>
  <si>
    <t>FCFS</t>
  </si>
  <si>
    <t>First-Fit</t>
  </si>
  <si>
    <t>Best-Fit</t>
  </si>
  <si>
    <t>2J 8-EMW</t>
  </si>
  <si>
    <t>2J 16-EMW</t>
  </si>
  <si>
    <t>2J 4-EMW</t>
  </si>
  <si>
    <t>2J 32-EMW</t>
  </si>
  <si>
    <t>2J 64-EMW</t>
  </si>
  <si>
    <t>2B 64-EMW</t>
  </si>
  <si>
    <t>2B 64-EMW-B</t>
  </si>
  <si>
    <t>2J 32-EMW-B</t>
  </si>
  <si>
    <t>2J 64-EMW-B</t>
  </si>
  <si>
    <t>2J 8-EMW-B</t>
  </si>
  <si>
    <t>2J 16-EMW-B</t>
  </si>
  <si>
    <t>2J 4-EMW-B</t>
  </si>
  <si>
    <t>8-MW</t>
  </si>
  <si>
    <t>16-MW</t>
  </si>
  <si>
    <t>Arrival rate</t>
  </si>
  <si>
    <t>8-MW-B</t>
  </si>
  <si>
    <t>16-MW-B</t>
  </si>
  <si>
    <t>LSF</t>
  </si>
  <si>
    <t xml:space="preserve">LSF </t>
  </si>
  <si>
    <t>30-MW-B</t>
  </si>
  <si>
    <t>X 30-MW-B</t>
  </si>
  <si>
    <t>Pseudo-MW</t>
  </si>
  <si>
    <t>XP 30-MW-B</t>
  </si>
  <si>
    <t>Note: The first group is the mean response time result, the second group is the mean queue length result. Other sheets are constructed following the same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</si>
</sst>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26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A19C-6F91-2B4B-B365-3F57F508E1B3}">
  <dimension ref="A1:S36"/>
  <sheetViews>
    <sheetView zoomScale="86" workbookViewId="0">
      <selection activeCell="O17" sqref="O17"/>
    </sheetView>
  </sheetViews>
  <sheetFormatPr baseColWidth="10" defaultRowHeight="16" x14ac:dyDescent="0.2"/>
  <cols>
    <col min="1" max="1" width="10" customWidth="1"/>
    <col min="8" max="8" width="10" customWidth="1"/>
  </cols>
  <sheetData>
    <row r="1" spans="1:19" x14ac:dyDescent="0.2">
      <c r="A1" t="s">
        <v>0</v>
      </c>
      <c r="B1" t="s">
        <v>6</v>
      </c>
      <c r="C1" t="s">
        <v>4</v>
      </c>
      <c r="D1" t="s">
        <v>5</v>
      </c>
      <c r="E1" t="s">
        <v>7</v>
      </c>
      <c r="F1" t="s">
        <v>8</v>
      </c>
      <c r="H1" t="s">
        <v>0</v>
      </c>
      <c r="I1" t="s">
        <v>6</v>
      </c>
      <c r="J1" t="s">
        <v>4</v>
      </c>
      <c r="K1" t="s">
        <v>5</v>
      </c>
      <c r="L1" t="s">
        <v>7</v>
      </c>
      <c r="M1" t="s">
        <v>8</v>
      </c>
      <c r="O1" s="5" t="s">
        <v>27</v>
      </c>
      <c r="P1" s="4"/>
      <c r="Q1" s="4"/>
      <c r="R1" s="4"/>
      <c r="S1" s="4"/>
    </row>
    <row r="2" spans="1:19" x14ac:dyDescent="0.2">
      <c r="A2">
        <v>1</v>
      </c>
      <c r="B2">
        <f>I2/$A2</f>
        <v>3.30508230238588</v>
      </c>
      <c r="C2">
        <f>J2/$A2</f>
        <v>3.7903287303530102</v>
      </c>
      <c r="D2">
        <f>K2/$A2</f>
        <v>4.8202792410783504</v>
      </c>
      <c r="E2">
        <f>L2/$A2</f>
        <v>6.4751421358373902</v>
      </c>
      <c r="F2">
        <f>M2/$A2</f>
        <v>8.9510653578110304</v>
      </c>
      <c r="H2">
        <v>1</v>
      </c>
      <c r="I2">
        <v>3.30508230238588</v>
      </c>
      <c r="J2">
        <v>3.7903287303530102</v>
      </c>
      <c r="K2">
        <v>4.8202792410783504</v>
      </c>
      <c r="L2">
        <v>6.4751421358373902</v>
      </c>
      <c r="M2">
        <v>8.9510653578110304</v>
      </c>
      <c r="O2" s="4"/>
      <c r="P2" s="4"/>
      <c r="Q2" s="4"/>
      <c r="R2" s="4"/>
      <c r="S2" s="4"/>
    </row>
    <row r="3" spans="1:19" x14ac:dyDescent="0.2">
      <c r="A3">
        <v>1.1000000000000001</v>
      </c>
      <c r="B3">
        <f>I3/$A3</f>
        <v>3.9835687114312814</v>
      </c>
      <c r="C3">
        <f>J3/$A3</f>
        <v>4.5900103146907725</v>
      </c>
      <c r="D3">
        <f>K3/$A3</f>
        <v>6.1014903667342901</v>
      </c>
      <c r="E3">
        <f>L3/$A3</f>
        <v>8.868347907768646</v>
      </c>
      <c r="F3">
        <f>M3/$A3</f>
        <v>14.003453670127636</v>
      </c>
      <c r="H3">
        <v>1.1000000000000001</v>
      </c>
      <c r="I3">
        <v>4.3819255825744099</v>
      </c>
      <c r="J3">
        <v>5.0490113461598503</v>
      </c>
      <c r="K3">
        <v>6.7116394034077196</v>
      </c>
      <c r="L3">
        <v>9.7551826985455108</v>
      </c>
      <c r="M3">
        <v>15.4037990371404</v>
      </c>
      <c r="O3" s="4"/>
      <c r="P3" s="4"/>
      <c r="Q3" s="4"/>
      <c r="R3" s="4"/>
      <c r="S3" s="4"/>
    </row>
    <row r="4" spans="1:19" x14ac:dyDescent="0.2">
      <c r="A4">
        <v>1.2</v>
      </c>
      <c r="B4">
        <f>I4/$A4</f>
        <v>4.9765602403013833</v>
      </c>
      <c r="C4">
        <f>J4/$A4</f>
        <v>5.6362502074254834</v>
      </c>
      <c r="D4">
        <f>K4/$A4</f>
        <v>7.7429999847948929</v>
      </c>
      <c r="E4">
        <f>L4/$A4</f>
        <v>11.978852765139335</v>
      </c>
      <c r="F4">
        <f>M4/$A4</f>
        <v>20.516042473241001</v>
      </c>
      <c r="H4">
        <v>1.2</v>
      </c>
      <c r="I4">
        <v>5.9718722883616602</v>
      </c>
      <c r="J4">
        <v>6.7635002489105798</v>
      </c>
      <c r="K4">
        <v>9.2915999817538708</v>
      </c>
      <c r="L4">
        <v>14.374623318167201</v>
      </c>
      <c r="M4">
        <v>24.619250967889201</v>
      </c>
      <c r="O4" s="4"/>
      <c r="P4" s="4"/>
      <c r="Q4" s="4"/>
      <c r="R4" s="4"/>
      <c r="S4" s="4"/>
    </row>
    <row r="5" spans="1:19" x14ac:dyDescent="0.2">
      <c r="A5">
        <v>1.3</v>
      </c>
      <c r="B5">
        <f>I5/$A5</f>
        <v>6.5996591330292151</v>
      </c>
      <c r="C5">
        <f>J5/$A5</f>
        <v>7.0743615818638919</v>
      </c>
      <c r="D5">
        <f>K5/$A5</f>
        <v>9.8861139808996921</v>
      </c>
      <c r="E5">
        <f>L5/$A5</f>
        <v>15.868760482310538</v>
      </c>
      <c r="F5">
        <f>M5/$A5</f>
        <v>27.899244256884689</v>
      </c>
      <c r="H5">
        <v>1.3</v>
      </c>
      <c r="I5">
        <v>8.5795568729379799</v>
      </c>
      <c r="J5">
        <v>9.1966700564230592</v>
      </c>
      <c r="K5">
        <v>12.8519481751696</v>
      </c>
      <c r="L5">
        <v>20.629388627003699</v>
      </c>
      <c r="M5">
        <v>36.269017533950098</v>
      </c>
      <c r="O5" s="4"/>
      <c r="P5" s="4"/>
      <c r="Q5" s="4"/>
      <c r="R5" s="4"/>
      <c r="S5" s="4"/>
    </row>
    <row r="6" spans="1:19" x14ac:dyDescent="0.2">
      <c r="A6">
        <v>1.4</v>
      </c>
      <c r="B6">
        <f>I6/$A6</f>
        <v>9.8091597402035013</v>
      </c>
      <c r="C6">
        <f>J6/$A6</f>
        <v>9.2494545169320723</v>
      </c>
      <c r="D6">
        <f>K6/$A6</f>
        <v>12.766951078306001</v>
      </c>
      <c r="E6">
        <f>L6/$A6</f>
        <v>20.841756515307431</v>
      </c>
      <c r="F6">
        <f>M6/$A6</f>
        <v>37.188840189406001</v>
      </c>
      <c r="H6">
        <v>1.4</v>
      </c>
      <c r="I6">
        <v>13.7328236362849</v>
      </c>
      <c r="J6">
        <v>12.9492363237049</v>
      </c>
      <c r="K6">
        <v>17.873731509628399</v>
      </c>
      <c r="L6">
        <v>29.1784591214304</v>
      </c>
      <c r="M6">
        <v>52.064376265168399</v>
      </c>
      <c r="O6" s="4"/>
      <c r="P6" s="4"/>
      <c r="Q6" s="4"/>
      <c r="R6" s="4"/>
      <c r="S6" s="4"/>
    </row>
    <row r="7" spans="1:19" x14ac:dyDescent="0.2">
      <c r="A7">
        <v>1.5</v>
      </c>
      <c r="B7">
        <f>I7/$A7</f>
        <v>19.653490745814601</v>
      </c>
      <c r="C7">
        <f>J7/$A7</f>
        <v>12.982251784781267</v>
      </c>
      <c r="D7">
        <f>K7/$A7</f>
        <v>17.114336328002867</v>
      </c>
      <c r="E7">
        <f>L7/$A7</f>
        <v>27.821193511726197</v>
      </c>
      <c r="F7">
        <f>M7/$A7</f>
        <v>50.015684085662663</v>
      </c>
      <c r="H7">
        <v>1.5</v>
      </c>
      <c r="I7">
        <v>29.480236118721901</v>
      </c>
      <c r="J7">
        <v>19.4733776771719</v>
      </c>
      <c r="K7">
        <v>25.671504492004299</v>
      </c>
      <c r="L7">
        <v>41.731790267589297</v>
      </c>
      <c r="M7">
        <v>75.023526128493998</v>
      </c>
      <c r="O7" s="4"/>
      <c r="P7" s="4"/>
      <c r="Q7" s="4"/>
      <c r="R7" s="4"/>
      <c r="S7" s="4"/>
    </row>
    <row r="8" spans="1:19" x14ac:dyDescent="0.2">
      <c r="A8">
        <v>1.6</v>
      </c>
      <c r="B8">
        <f>I8/$A8</f>
        <v>603.19836336018056</v>
      </c>
      <c r="C8">
        <f>J8/$A8</f>
        <v>21.123573785345624</v>
      </c>
      <c r="D8">
        <f>K8/$A8</f>
        <v>24.537318127635309</v>
      </c>
      <c r="E8">
        <f>L8/$A8</f>
        <v>38.902940373513687</v>
      </c>
      <c r="F8">
        <f>M8/$A8</f>
        <v>69.41961972374375</v>
      </c>
      <c r="H8">
        <v>1.6</v>
      </c>
      <c r="I8">
        <v>965.11738137628902</v>
      </c>
      <c r="J8">
        <v>33.797718056553002</v>
      </c>
      <c r="K8">
        <v>39.259709004216496</v>
      </c>
      <c r="L8">
        <v>62.244704597621897</v>
      </c>
      <c r="M8">
        <v>111.07139155799</v>
      </c>
      <c r="O8" s="4"/>
      <c r="P8" s="4"/>
      <c r="Q8" s="4"/>
      <c r="R8" s="4"/>
      <c r="S8" s="4"/>
    </row>
    <row r="9" spans="1:19" x14ac:dyDescent="0.2">
      <c r="A9">
        <v>1.7</v>
      </c>
      <c r="C9">
        <f>J9/$A9</f>
        <v>51.158584616110531</v>
      </c>
      <c r="D9">
        <f>K9/$A9</f>
        <v>40.554741200701763</v>
      </c>
      <c r="E9">
        <f>L9/$A9</f>
        <v>59.277297095411768</v>
      </c>
      <c r="F9">
        <f>M9/$A9</f>
        <v>102.68277748613706</v>
      </c>
      <c r="H9">
        <v>1.7</v>
      </c>
      <c r="J9">
        <v>86.969593847387898</v>
      </c>
      <c r="K9">
        <v>68.943060041192993</v>
      </c>
      <c r="L9">
        <v>100.7714050622</v>
      </c>
      <c r="M9">
        <v>174.560721726433</v>
      </c>
      <c r="O9" s="4"/>
      <c r="P9" s="4"/>
      <c r="Q9" s="4"/>
      <c r="R9" s="4"/>
      <c r="S9" s="4"/>
    </row>
    <row r="10" spans="1:19" x14ac:dyDescent="0.2">
      <c r="A10">
        <v>1.71</v>
      </c>
      <c r="C10">
        <f>J10/$A10</f>
        <v>59.325819885368418</v>
      </c>
      <c r="H10">
        <v>1.71</v>
      </c>
      <c r="J10">
        <v>101.44715200397999</v>
      </c>
      <c r="O10" s="4"/>
      <c r="P10" s="4"/>
      <c r="Q10" s="4"/>
      <c r="R10" s="4"/>
      <c r="S10" s="4"/>
    </row>
    <row r="11" spans="1:19" x14ac:dyDescent="0.2">
      <c r="A11">
        <v>1.72</v>
      </c>
      <c r="C11">
        <f>J11/$A11</f>
        <v>70.547012992194766</v>
      </c>
      <c r="H11">
        <v>1.72</v>
      </c>
      <c r="J11">
        <v>121.34086234657499</v>
      </c>
      <c r="O11" s="4"/>
      <c r="P11" s="4"/>
      <c r="Q11" s="4"/>
      <c r="R11" s="4"/>
      <c r="S11" s="4"/>
    </row>
    <row r="12" spans="1:19" x14ac:dyDescent="0.2">
      <c r="A12">
        <v>1.73</v>
      </c>
      <c r="C12">
        <f>J12/$A12</f>
        <v>86.924855057521384</v>
      </c>
      <c r="H12">
        <v>1.73</v>
      </c>
      <c r="J12">
        <v>150.379999249512</v>
      </c>
      <c r="O12" s="4"/>
      <c r="P12" s="4"/>
      <c r="Q12" s="4"/>
      <c r="R12" s="4"/>
      <c r="S12" s="4"/>
    </row>
    <row r="13" spans="1:19" x14ac:dyDescent="0.2">
      <c r="A13">
        <v>1.74</v>
      </c>
      <c r="C13">
        <f>J13/$A13</f>
        <v>110.10158024460861</v>
      </c>
      <c r="H13">
        <v>1.74</v>
      </c>
      <c r="J13">
        <v>191.57674962561899</v>
      </c>
      <c r="O13" s="4"/>
      <c r="P13" s="4"/>
      <c r="Q13" s="4"/>
      <c r="R13" s="4"/>
      <c r="S13" s="4"/>
    </row>
    <row r="14" spans="1:19" x14ac:dyDescent="0.2">
      <c r="A14">
        <v>1.75</v>
      </c>
      <c r="C14">
        <f>J14/$A14</f>
        <v>151.08257323366001</v>
      </c>
      <c r="H14">
        <v>1.75</v>
      </c>
      <c r="J14">
        <v>264.39450315890502</v>
      </c>
      <c r="O14" s="4"/>
      <c r="P14" s="4"/>
      <c r="Q14" s="4"/>
      <c r="R14" s="4"/>
      <c r="S14" s="4"/>
    </row>
    <row r="15" spans="1:19" x14ac:dyDescent="0.2">
      <c r="A15">
        <v>1.76</v>
      </c>
      <c r="C15">
        <f>J15/$A15</f>
        <v>230.7400341035034</v>
      </c>
      <c r="H15">
        <v>1.76</v>
      </c>
      <c r="J15">
        <v>406.10246002216599</v>
      </c>
      <c r="O15" s="4"/>
      <c r="P15" s="4"/>
      <c r="Q15" s="4"/>
      <c r="R15" s="4"/>
      <c r="S15" s="4"/>
    </row>
    <row r="16" spans="1:19" x14ac:dyDescent="0.2">
      <c r="A16">
        <v>1.77</v>
      </c>
      <c r="C16">
        <f>J16/$A16</f>
        <v>472.22146430356611</v>
      </c>
      <c r="H16">
        <v>1.77</v>
      </c>
      <c r="J16">
        <v>835.83199181731197</v>
      </c>
      <c r="O16" s="4"/>
      <c r="P16" s="4"/>
      <c r="Q16" s="4"/>
      <c r="R16" s="4"/>
      <c r="S16" s="4"/>
    </row>
    <row r="17" spans="1:13" x14ac:dyDescent="0.2">
      <c r="A17">
        <v>1.8</v>
      </c>
      <c r="D17">
        <f>K17/$A17</f>
        <v>96.791670360079436</v>
      </c>
      <c r="E17">
        <f>L17/$A17</f>
        <v>109.19993930026722</v>
      </c>
      <c r="F17">
        <f>M17/$A17</f>
        <v>172.44542768674165</v>
      </c>
      <c r="H17">
        <v>1.8</v>
      </c>
      <c r="K17">
        <v>174.22500664814299</v>
      </c>
      <c r="L17">
        <v>196.55989074048099</v>
      </c>
      <c r="M17">
        <v>310.40176983613497</v>
      </c>
    </row>
    <row r="18" spans="1:13" x14ac:dyDescent="0.2">
      <c r="A18">
        <v>1.81</v>
      </c>
      <c r="D18">
        <f>K18/$A18</f>
        <v>110.21069223464089</v>
      </c>
      <c r="E18">
        <f>L18/$A18</f>
        <v>118.21868121335856</v>
      </c>
      <c r="F18">
        <f>M18/$A18</f>
        <v>183.81737587551325</v>
      </c>
      <c r="H18">
        <v>1.81</v>
      </c>
      <c r="K18">
        <v>199.48135294470001</v>
      </c>
      <c r="L18">
        <v>213.975812996179</v>
      </c>
      <c r="M18">
        <v>332.70945033467899</v>
      </c>
    </row>
    <row r="19" spans="1:13" x14ac:dyDescent="0.2">
      <c r="A19">
        <v>1.82</v>
      </c>
      <c r="D19">
        <f>K19/$A19</f>
        <v>128.04999453345329</v>
      </c>
      <c r="E19">
        <f>L19/$A19</f>
        <v>128.95419020707527</v>
      </c>
      <c r="F19">
        <f>M19/$A19</f>
        <v>196.92198431765658</v>
      </c>
      <c r="H19">
        <v>1.82</v>
      </c>
      <c r="K19">
        <v>233.05099005088499</v>
      </c>
      <c r="L19">
        <v>234.696626176877</v>
      </c>
      <c r="M19">
        <v>358.39801145813499</v>
      </c>
    </row>
    <row r="20" spans="1:13" x14ac:dyDescent="0.2">
      <c r="A20">
        <v>1.83</v>
      </c>
      <c r="D20">
        <f>K20/$A20</f>
        <v>152.45691129133007</v>
      </c>
      <c r="E20">
        <f>L20/$A20</f>
        <v>140.8792151386497</v>
      </c>
      <c r="F20">
        <f>M20/$A20</f>
        <v>211.75213885156009</v>
      </c>
      <c r="H20">
        <v>1.83</v>
      </c>
      <c r="K20">
        <v>278.99614766313402</v>
      </c>
      <c r="L20">
        <v>257.80896370372898</v>
      </c>
      <c r="M20">
        <v>387.50641409835498</v>
      </c>
    </row>
    <row r="21" spans="1:13" x14ac:dyDescent="0.2">
      <c r="A21">
        <v>1.84</v>
      </c>
      <c r="D21">
        <f>K21/$A21</f>
        <v>188.16608923925651</v>
      </c>
      <c r="E21">
        <f>L21/$A21</f>
        <v>155.65006373244893</v>
      </c>
      <c r="F21">
        <f>M21/$A21</f>
        <v>228.45637969973694</v>
      </c>
      <c r="H21">
        <v>1.84</v>
      </c>
      <c r="K21">
        <v>346.225604200232</v>
      </c>
      <c r="L21">
        <v>286.39611726770602</v>
      </c>
      <c r="M21">
        <v>420.359738647516</v>
      </c>
    </row>
    <row r="22" spans="1:13" x14ac:dyDescent="0.2">
      <c r="A22">
        <v>1.85</v>
      </c>
      <c r="D22">
        <f>K22/$A22</f>
        <v>242.92147370034974</v>
      </c>
      <c r="E22">
        <f>L22/$A22</f>
        <v>173.08245069389025</v>
      </c>
      <c r="F22">
        <f>M22/$A22</f>
        <v>247.1987354883351</v>
      </c>
      <c r="H22">
        <v>1.85</v>
      </c>
      <c r="K22">
        <v>449.40472634564702</v>
      </c>
      <c r="L22">
        <v>320.20253378369699</v>
      </c>
      <c r="M22">
        <v>457.31766065341998</v>
      </c>
    </row>
    <row r="23" spans="1:13" x14ac:dyDescent="0.2">
      <c r="A23">
        <v>1.86</v>
      </c>
      <c r="D23">
        <f>K23/$A23</f>
        <v>346.1883170038177</v>
      </c>
      <c r="E23">
        <f>L23/$A23</f>
        <v>194.73948555941288</v>
      </c>
      <c r="F23">
        <f>M23/$A23</f>
        <v>269.84400920616503</v>
      </c>
      <c r="H23">
        <v>1.86</v>
      </c>
      <c r="K23">
        <v>643.910269627101</v>
      </c>
      <c r="L23">
        <v>362.215443140508</v>
      </c>
      <c r="M23">
        <v>501.90985712346702</v>
      </c>
    </row>
    <row r="24" spans="1:13" x14ac:dyDescent="0.2">
      <c r="A24">
        <v>1.87</v>
      </c>
      <c r="D24">
        <f>K24/$A24</f>
        <v>562.70203548442782</v>
      </c>
      <c r="E24">
        <f>L24/$A24</f>
        <v>222.83926091842031</v>
      </c>
      <c r="F24">
        <f>M24/$A24</f>
        <v>297.57871680153204</v>
      </c>
      <c r="H24">
        <v>1.87</v>
      </c>
      <c r="K24">
        <v>1052.25280635588</v>
      </c>
      <c r="L24">
        <v>416.70941791744599</v>
      </c>
      <c r="M24">
        <v>556.47220041886499</v>
      </c>
    </row>
    <row r="25" spans="1:13" x14ac:dyDescent="0.2">
      <c r="A25">
        <v>1.88</v>
      </c>
      <c r="E25">
        <f>L25/$A25</f>
        <v>259.74475167614787</v>
      </c>
      <c r="F25">
        <f>M25/$A25</f>
        <v>330.03647290075429</v>
      </c>
      <c r="H25">
        <v>1.88</v>
      </c>
      <c r="L25">
        <v>488.32013315115802</v>
      </c>
      <c r="M25">
        <v>620.46856905341804</v>
      </c>
    </row>
    <row r="26" spans="1:13" x14ac:dyDescent="0.2">
      <c r="A26">
        <v>1.89</v>
      </c>
      <c r="E26">
        <f>L26/$A26</f>
        <v>313.2198255624217</v>
      </c>
      <c r="F26">
        <f>M26/$A26</f>
        <v>370.4860558230381</v>
      </c>
      <c r="H26">
        <v>1.89</v>
      </c>
      <c r="L26">
        <v>591.98547031297699</v>
      </c>
      <c r="M26">
        <v>700.21864550554199</v>
      </c>
    </row>
    <row r="27" spans="1:13" x14ac:dyDescent="0.2">
      <c r="A27">
        <v>1.9</v>
      </c>
      <c r="E27">
        <f>L27/$A27</f>
        <v>388.31508312540421</v>
      </c>
      <c r="F27">
        <f>M27/$A27</f>
        <v>420.28625823526056</v>
      </c>
      <c r="H27">
        <v>1.9</v>
      </c>
      <c r="L27">
        <v>737.79865793826798</v>
      </c>
      <c r="M27">
        <v>798.54389064699501</v>
      </c>
    </row>
    <row r="28" spans="1:13" x14ac:dyDescent="0.2">
      <c r="A28">
        <v>1.91</v>
      </c>
      <c r="E28">
        <f>L28/$A28</f>
        <v>498.7337328763623</v>
      </c>
      <c r="F28">
        <f>M28/$A28</f>
        <v>486.57803406930577</v>
      </c>
      <c r="H28">
        <v>1.91</v>
      </c>
      <c r="L28">
        <v>952.58142979385195</v>
      </c>
      <c r="M28">
        <v>929.36404507237398</v>
      </c>
    </row>
    <row r="29" spans="1:13" x14ac:dyDescent="0.2">
      <c r="A29">
        <v>1.92</v>
      </c>
      <c r="E29">
        <f>L29/$A29</f>
        <v>671.62508435566144</v>
      </c>
      <c r="F29">
        <f>M29/$A29</f>
        <v>575.17969142513027</v>
      </c>
      <c r="H29">
        <v>1.92</v>
      </c>
      <c r="L29">
        <v>1289.5201619628699</v>
      </c>
      <c r="M29">
        <v>1104.34500753625</v>
      </c>
    </row>
    <row r="30" spans="1:13" x14ac:dyDescent="0.2">
      <c r="A30">
        <v>1.93</v>
      </c>
      <c r="F30">
        <f>M30/$A30</f>
        <v>705.83159370043518</v>
      </c>
      <c r="H30">
        <v>1.93</v>
      </c>
      <c r="M30">
        <v>1362.25497584184</v>
      </c>
    </row>
    <row r="31" spans="1:13" x14ac:dyDescent="0.2">
      <c r="A31">
        <v>1.94</v>
      </c>
      <c r="F31">
        <f>M31/$A31</f>
        <v>913.39281384028357</v>
      </c>
      <c r="H31">
        <v>1.94</v>
      </c>
      <c r="M31">
        <v>1771.98205885015</v>
      </c>
    </row>
    <row r="32" spans="1:13" x14ac:dyDescent="0.2">
      <c r="A32">
        <v>1.95</v>
      </c>
      <c r="H32">
        <v>1.95</v>
      </c>
    </row>
    <row r="33" spans="1:8" x14ac:dyDescent="0.2">
      <c r="A33">
        <v>1.96</v>
      </c>
      <c r="H33">
        <v>1.96</v>
      </c>
    </row>
    <row r="34" spans="1:8" x14ac:dyDescent="0.2">
      <c r="A34">
        <v>1.97</v>
      </c>
      <c r="H34">
        <v>1.97</v>
      </c>
    </row>
    <row r="35" spans="1:8" x14ac:dyDescent="0.2">
      <c r="A35">
        <v>1.98</v>
      </c>
      <c r="H35">
        <v>1.98</v>
      </c>
    </row>
    <row r="36" spans="1:8" x14ac:dyDescent="0.2">
      <c r="A36">
        <v>1.99</v>
      </c>
      <c r="H36">
        <v>1.99</v>
      </c>
    </row>
  </sheetData>
  <mergeCells count="1">
    <mergeCell ref="O1:S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B6E0-D3CE-D944-A9DA-A55B5924C234}">
  <dimension ref="A1:M29"/>
  <sheetViews>
    <sheetView zoomScale="82" workbookViewId="0">
      <selection sqref="A1:XFD1"/>
    </sheetView>
  </sheetViews>
  <sheetFormatPr baseColWidth="10" defaultRowHeight="16" x14ac:dyDescent="0.2"/>
  <sheetData>
    <row r="1" spans="1:13" x14ac:dyDescent="0.2">
      <c r="A1" t="s">
        <v>18</v>
      </c>
      <c r="B1" t="s">
        <v>15</v>
      </c>
      <c r="C1" t="s">
        <v>13</v>
      </c>
      <c r="D1" t="s">
        <v>14</v>
      </c>
      <c r="E1" t="s">
        <v>11</v>
      </c>
      <c r="F1" t="s">
        <v>12</v>
      </c>
      <c r="H1" t="s">
        <v>18</v>
      </c>
      <c r="I1" t="s">
        <v>15</v>
      </c>
      <c r="J1" t="s">
        <v>13</v>
      </c>
      <c r="K1" t="s">
        <v>14</v>
      </c>
      <c r="L1" t="s">
        <v>11</v>
      </c>
      <c r="M1" t="s">
        <v>12</v>
      </c>
    </row>
    <row r="2" spans="1:13" x14ac:dyDescent="0.2">
      <c r="A2">
        <v>1</v>
      </c>
      <c r="B2">
        <f>I2/$A2</f>
        <v>2.2172768038741002</v>
      </c>
      <c r="C2">
        <f>J2/$A2</f>
        <v>2.1362623176345599</v>
      </c>
      <c r="D2">
        <f>K2/$A2</f>
        <v>2.0991134369720599</v>
      </c>
      <c r="E2">
        <f>L2/$A2</f>
        <v>2.10451585489306</v>
      </c>
      <c r="F2">
        <f>M2/$A2</f>
        <v>2.1297837137358302</v>
      </c>
      <c r="H2">
        <v>1</v>
      </c>
      <c r="I2">
        <v>2.2172768038741002</v>
      </c>
      <c r="J2">
        <v>2.1362623176345599</v>
      </c>
      <c r="K2">
        <v>2.0991134369720599</v>
      </c>
      <c r="L2">
        <v>2.10451585489306</v>
      </c>
      <c r="M2">
        <v>2.1297837137358302</v>
      </c>
    </row>
    <row r="3" spans="1:13" x14ac:dyDescent="0.2">
      <c r="A3">
        <v>1.1000000000000001</v>
      </c>
      <c r="B3">
        <f>I3/$A3</f>
        <v>2.5334914179666819</v>
      </c>
      <c r="C3">
        <f>J3/$A3</f>
        <v>2.4190142516927362</v>
      </c>
      <c r="D3">
        <f>K3/$A3</f>
        <v>2.3695121861110908</v>
      </c>
      <c r="E3">
        <f>L3/$A3</f>
        <v>2.3767306252569451</v>
      </c>
      <c r="F3">
        <f>M3/$A3</f>
        <v>2.4171259288411271</v>
      </c>
      <c r="H3">
        <v>1.1000000000000001</v>
      </c>
      <c r="I3">
        <v>2.7868405597633501</v>
      </c>
      <c r="J3">
        <v>2.6609156768620101</v>
      </c>
      <c r="K3">
        <v>2.6064634047222</v>
      </c>
      <c r="L3">
        <v>2.61440368778264</v>
      </c>
      <c r="M3">
        <v>2.6588385217252402</v>
      </c>
    </row>
    <row r="4" spans="1:13" x14ac:dyDescent="0.2">
      <c r="A4">
        <v>1.2</v>
      </c>
      <c r="B4">
        <f>I4/$A4</f>
        <v>2.9557536332083667</v>
      </c>
      <c r="C4">
        <f>J4/$A4</f>
        <v>2.7886530427461582</v>
      </c>
      <c r="D4">
        <f>K4/$A4</f>
        <v>2.7204456369614003</v>
      </c>
      <c r="E4">
        <f>L4/$A4</f>
        <v>2.7292578357400168</v>
      </c>
      <c r="F4">
        <f>M4/$A4</f>
        <v>2.7903490800607003</v>
      </c>
      <c r="H4">
        <v>1.2</v>
      </c>
      <c r="I4">
        <v>3.54690435985004</v>
      </c>
      <c r="J4">
        <v>3.3463836512953899</v>
      </c>
      <c r="K4">
        <v>3.2645347643536802</v>
      </c>
      <c r="L4">
        <v>3.2751094028880199</v>
      </c>
      <c r="M4">
        <v>3.34841889607284</v>
      </c>
    </row>
    <row r="5" spans="1:13" x14ac:dyDescent="0.2">
      <c r="A5">
        <v>1.3</v>
      </c>
      <c r="B5">
        <f>I5/$A5</f>
        <v>3.5561483323523766</v>
      </c>
      <c r="C5">
        <f>J5/$A5</f>
        <v>3.2920659833441692</v>
      </c>
      <c r="D5">
        <f>K5/$A5</f>
        <v>3.1899769316541464</v>
      </c>
      <c r="E5">
        <f>L5/$A5</f>
        <v>3.1996266628280616</v>
      </c>
      <c r="F5">
        <f>M5/$A5</f>
        <v>3.2958245590417463</v>
      </c>
      <c r="H5">
        <v>1.3</v>
      </c>
      <c r="I5">
        <v>4.62299283205809</v>
      </c>
      <c r="J5">
        <v>4.27968577834742</v>
      </c>
      <c r="K5">
        <v>4.1469700111503904</v>
      </c>
      <c r="L5">
        <v>4.1595146616764804</v>
      </c>
      <c r="M5">
        <v>4.2845719267542703</v>
      </c>
    </row>
    <row r="6" spans="1:13" x14ac:dyDescent="0.2">
      <c r="A6">
        <v>1.4</v>
      </c>
      <c r="B6">
        <f>I6/$A6</f>
        <v>4.4747591650587148</v>
      </c>
      <c r="C6">
        <f>J6/$A6</f>
        <v>4.0252300714845646</v>
      </c>
      <c r="D6">
        <f>K6/$A6</f>
        <v>3.8497974853372288</v>
      </c>
      <c r="E6">
        <f>L6/$A6</f>
        <v>3.8607600322794862</v>
      </c>
      <c r="F6">
        <f>M6/$A6</f>
        <v>4.0040260128038936</v>
      </c>
      <c r="H6">
        <v>1.4</v>
      </c>
      <c r="I6">
        <v>6.2646628310821999</v>
      </c>
      <c r="J6">
        <v>5.6353221000783904</v>
      </c>
      <c r="K6">
        <v>5.3897164794721197</v>
      </c>
      <c r="L6">
        <v>5.4050640451912804</v>
      </c>
      <c r="M6">
        <v>5.6056364179254503</v>
      </c>
    </row>
    <row r="7" spans="1:13" x14ac:dyDescent="0.2">
      <c r="A7">
        <v>1.5</v>
      </c>
      <c r="B7">
        <f>I7/$A7</f>
        <v>6.0342850544218658</v>
      </c>
      <c r="C7">
        <f>J7/$A7</f>
        <v>5.1963312266131334</v>
      </c>
      <c r="D7">
        <f>K7/$A7</f>
        <v>4.84860374583468</v>
      </c>
      <c r="E7">
        <f>L7/$A7</f>
        <v>4.8454613491627931</v>
      </c>
      <c r="F7">
        <f>M7/$A7</f>
        <v>5.0472841125097068</v>
      </c>
      <c r="H7">
        <v>1.5</v>
      </c>
      <c r="I7">
        <v>9.0514275816327991</v>
      </c>
      <c r="J7">
        <v>7.7944968399196997</v>
      </c>
      <c r="K7">
        <v>7.27290561875202</v>
      </c>
      <c r="L7">
        <v>7.2681920237441897</v>
      </c>
      <c r="M7">
        <v>7.5709261687645597</v>
      </c>
    </row>
    <row r="8" spans="1:13" x14ac:dyDescent="0.2">
      <c r="A8">
        <v>1.6</v>
      </c>
      <c r="B8">
        <f>I8/$A8</f>
        <v>9.3017211913158739</v>
      </c>
      <c r="C8">
        <f>J8/$A8</f>
        <v>7.4314332922276867</v>
      </c>
      <c r="D8">
        <f>K8/$A8</f>
        <v>6.5126296360616251</v>
      </c>
      <c r="E8">
        <f>L8/$A8</f>
        <v>6.4395843196769373</v>
      </c>
      <c r="F8">
        <f>M8/$A8</f>
        <v>6.7176901877812494</v>
      </c>
      <c r="H8">
        <v>1.6</v>
      </c>
      <c r="I8">
        <v>14.8827539061054</v>
      </c>
      <c r="J8">
        <v>11.890293267564299</v>
      </c>
      <c r="K8">
        <v>10.420207417698601</v>
      </c>
      <c r="L8">
        <v>10.3033349114831</v>
      </c>
      <c r="M8">
        <v>10.74830430045</v>
      </c>
    </row>
    <row r="9" spans="1:13" x14ac:dyDescent="0.2">
      <c r="A9">
        <v>1.7</v>
      </c>
      <c r="B9">
        <f>I9/$A9</f>
        <v>19.504876263856179</v>
      </c>
      <c r="C9">
        <f>J9/$A9</f>
        <v>13.778953119365823</v>
      </c>
      <c r="D9">
        <f>K9/$A9</f>
        <v>10.036105195645412</v>
      </c>
      <c r="E9">
        <f>L9/$A9</f>
        <v>9.5067634780567065</v>
      </c>
      <c r="F9">
        <f>M9/$A9</f>
        <v>9.8604771056486467</v>
      </c>
      <c r="H9">
        <v>1.7</v>
      </c>
      <c r="I9">
        <v>33.158289648555503</v>
      </c>
      <c r="J9">
        <v>23.424220302921899</v>
      </c>
      <c r="K9">
        <v>17.0613788325972</v>
      </c>
      <c r="L9">
        <v>16.161497912696401</v>
      </c>
      <c r="M9">
        <v>16.762811079602699</v>
      </c>
    </row>
    <row r="10" spans="1:13" x14ac:dyDescent="0.2">
      <c r="A10">
        <v>1.8</v>
      </c>
      <c r="B10">
        <f>I10/$A10</f>
        <v>120.53533069005333</v>
      </c>
      <c r="C10">
        <f>J10/$A10</f>
        <v>141.41609726209501</v>
      </c>
      <c r="D10">
        <f>K10/$A10</f>
        <v>21.903491980504057</v>
      </c>
      <c r="E10">
        <f>L10/$A10</f>
        <v>17.440074252483555</v>
      </c>
      <c r="F10">
        <f>M10/$A10</f>
        <v>17.588329599788832</v>
      </c>
      <c r="H10">
        <v>1.8</v>
      </c>
      <c r="I10">
        <v>216.96359524209601</v>
      </c>
      <c r="J10">
        <v>254.548975071771</v>
      </c>
      <c r="K10">
        <v>39.426285564907303</v>
      </c>
      <c r="L10">
        <v>31.392133654470399</v>
      </c>
      <c r="M10">
        <v>31.658993279619899</v>
      </c>
    </row>
    <row r="11" spans="1:13" x14ac:dyDescent="0.2">
      <c r="A11">
        <v>1.81</v>
      </c>
      <c r="B11">
        <f>I11/$A11</f>
        <v>180.25139498174585</v>
      </c>
      <c r="C11">
        <f>J11/$A11</f>
        <v>507.24229096748115</v>
      </c>
      <c r="D11">
        <f>K11/$A11</f>
        <v>24.818106278686297</v>
      </c>
      <c r="E11">
        <f>L11/$A11</f>
        <v>18.980461972057292</v>
      </c>
      <c r="F11">
        <f>M11/$A11</f>
        <v>18.988323864844087</v>
      </c>
      <c r="H11">
        <v>1.81</v>
      </c>
      <c r="I11">
        <v>326.25502491696</v>
      </c>
      <c r="J11">
        <v>918.10854665114095</v>
      </c>
      <c r="K11">
        <v>44.920772364422199</v>
      </c>
      <c r="L11">
        <v>34.354636169423699</v>
      </c>
      <c r="M11">
        <v>34.368866195367801</v>
      </c>
    </row>
    <row r="12" spans="1:13" x14ac:dyDescent="0.2">
      <c r="A12">
        <v>1.82</v>
      </c>
      <c r="B12">
        <f>I12/$A12</f>
        <v>333.66130110114506</v>
      </c>
      <c r="D12">
        <f>K12/$A12</f>
        <v>28.526776472267198</v>
      </c>
      <c r="E12">
        <f>L12/$A12</f>
        <v>20.798491152523734</v>
      </c>
      <c r="F12">
        <f>M12/$A12</f>
        <v>20.578940172604231</v>
      </c>
      <c r="H12">
        <v>1.82</v>
      </c>
      <c r="I12">
        <v>607.26356800408405</v>
      </c>
      <c r="K12">
        <v>51.918733179526299</v>
      </c>
      <c r="L12">
        <v>37.853253897593198</v>
      </c>
      <c r="M12">
        <v>37.453671114139702</v>
      </c>
    </row>
    <row r="13" spans="1:13" x14ac:dyDescent="0.2">
      <c r="A13">
        <v>1.83</v>
      </c>
      <c r="B13">
        <f>I13/$A13</f>
        <v>710.19115259578689</v>
      </c>
      <c r="D13">
        <f>K13/$A13</f>
        <v>33.448793414208417</v>
      </c>
      <c r="E13">
        <f>L13/$A13</f>
        <v>22.972404605656173</v>
      </c>
      <c r="F13">
        <f>M13/$A13</f>
        <v>22.474241223426336</v>
      </c>
      <c r="H13">
        <v>1.83</v>
      </c>
      <c r="I13">
        <v>1299.64980925029</v>
      </c>
      <c r="K13">
        <v>61.211291948001403</v>
      </c>
      <c r="L13">
        <v>42.039500428350799</v>
      </c>
      <c r="M13">
        <v>41.127861438870198</v>
      </c>
    </row>
    <row r="14" spans="1:13" x14ac:dyDescent="0.2">
      <c r="A14">
        <v>1.84</v>
      </c>
      <c r="D14">
        <f>K14/$A14</f>
        <v>39.843487656501686</v>
      </c>
      <c r="E14">
        <f>L14/$A14</f>
        <v>25.551450544369345</v>
      </c>
      <c r="F14">
        <f>M14/$A14</f>
        <v>24.672151516882444</v>
      </c>
      <c r="H14">
        <v>1.84</v>
      </c>
      <c r="K14">
        <v>73.312017287963101</v>
      </c>
      <c r="L14">
        <v>47.014669001639597</v>
      </c>
      <c r="M14">
        <v>45.396758791063696</v>
      </c>
    </row>
    <row r="15" spans="1:13" x14ac:dyDescent="0.2">
      <c r="A15">
        <v>1.85</v>
      </c>
      <c r="D15">
        <f>K15/$A15</f>
        <v>49.003453490591134</v>
      </c>
      <c r="E15">
        <f>L15/$A15</f>
        <v>28.705611635380485</v>
      </c>
      <c r="F15">
        <f>M15/$A15</f>
        <v>27.346885847477676</v>
      </c>
      <c r="H15">
        <v>1.85</v>
      </c>
      <c r="K15">
        <v>90.656388957593606</v>
      </c>
      <c r="L15">
        <v>53.1053815254539</v>
      </c>
      <c r="M15">
        <v>50.591738817833701</v>
      </c>
    </row>
    <row r="16" spans="1:13" x14ac:dyDescent="0.2">
      <c r="A16">
        <v>1.86</v>
      </c>
      <c r="D16">
        <f>K16/$A16</f>
        <v>65.130025826327412</v>
      </c>
      <c r="E16">
        <f>L16/$A16</f>
        <v>32.679568874286822</v>
      </c>
      <c r="F16">
        <f>M16/$A16</f>
        <v>30.461505961460592</v>
      </c>
      <c r="H16">
        <v>1.86</v>
      </c>
      <c r="K16">
        <v>121.14184803696899</v>
      </c>
      <c r="L16">
        <v>60.783998106173499</v>
      </c>
      <c r="M16">
        <v>56.658401088316701</v>
      </c>
    </row>
    <row r="17" spans="1:13" x14ac:dyDescent="0.2">
      <c r="A17">
        <v>1.87</v>
      </c>
      <c r="D17">
        <f>K17/$A17</f>
        <v>99.502615717810698</v>
      </c>
      <c r="E17">
        <f>L17/$A17</f>
        <v>37.602694450452937</v>
      </c>
      <c r="F17">
        <f>M17/$A17</f>
        <v>34.223552118626628</v>
      </c>
      <c r="H17">
        <v>1.87</v>
      </c>
      <c r="K17">
        <v>186.069891392306</v>
      </c>
      <c r="L17">
        <v>70.317038622346999</v>
      </c>
      <c r="M17">
        <v>63.998042461831801</v>
      </c>
    </row>
    <row r="18" spans="1:13" x14ac:dyDescent="0.2">
      <c r="A18">
        <v>1.88</v>
      </c>
      <c r="D18">
        <f>K18/$A18</f>
        <v>216.98019501586225</v>
      </c>
      <c r="E18">
        <f>L18/$A18</f>
        <v>44.007457412469897</v>
      </c>
      <c r="F18">
        <f>M18/$A18</f>
        <v>38.740532998070535</v>
      </c>
      <c r="H18">
        <v>1.88</v>
      </c>
      <c r="K18">
        <v>407.92276662982101</v>
      </c>
      <c r="L18">
        <v>82.734019935443399</v>
      </c>
      <c r="M18">
        <v>72.832202036372607</v>
      </c>
    </row>
    <row r="19" spans="1:13" x14ac:dyDescent="0.2">
      <c r="A19">
        <v>1.89</v>
      </c>
      <c r="D19">
        <f>K19/$A19</f>
        <v>653.66340514156093</v>
      </c>
      <c r="E19">
        <f>L19/$A19</f>
        <v>52.682761205373232</v>
      </c>
      <c r="F19">
        <f>M19/$A19</f>
        <v>44.424392650968421</v>
      </c>
      <c r="H19">
        <v>1.89</v>
      </c>
      <c r="K19">
        <v>1235.42383571755</v>
      </c>
      <c r="L19">
        <v>99.570418678155406</v>
      </c>
      <c r="M19">
        <v>83.962102110330306</v>
      </c>
    </row>
    <row r="20" spans="1:13" x14ac:dyDescent="0.2">
      <c r="A20">
        <v>1.9</v>
      </c>
      <c r="E20">
        <f>L20/$A20</f>
        <v>65.747013474496313</v>
      </c>
      <c r="F20">
        <f>M20/$A20</f>
        <v>51.692673143445738</v>
      </c>
      <c r="H20">
        <v>1.9</v>
      </c>
      <c r="L20">
        <v>124.91932560154299</v>
      </c>
      <c r="M20">
        <v>98.216078972546896</v>
      </c>
    </row>
    <row r="21" spans="1:13" x14ac:dyDescent="0.2">
      <c r="A21">
        <v>1.91</v>
      </c>
      <c r="E21">
        <f>L21/$A21</f>
        <v>88.526768036259682</v>
      </c>
      <c r="F21">
        <f>M21/$A21</f>
        <v>61.631240399106282</v>
      </c>
      <c r="H21">
        <v>1.91</v>
      </c>
      <c r="L21">
        <v>169.086126949256</v>
      </c>
      <c r="M21">
        <v>117.715669162293</v>
      </c>
    </row>
    <row r="22" spans="1:13" x14ac:dyDescent="0.2">
      <c r="A22">
        <v>1.92</v>
      </c>
      <c r="E22">
        <f>L22/$A22</f>
        <v>131.87207436902449</v>
      </c>
      <c r="F22">
        <f>M22/$A22</f>
        <v>76.291305563338554</v>
      </c>
      <c r="H22">
        <v>1.92</v>
      </c>
      <c r="L22">
        <v>253.19438278852701</v>
      </c>
      <c r="M22">
        <v>146.47930668161001</v>
      </c>
    </row>
    <row r="23" spans="1:13" x14ac:dyDescent="0.2">
      <c r="A23">
        <v>1.93</v>
      </c>
      <c r="E23">
        <f>L23/$A23</f>
        <v>235.70351695657618</v>
      </c>
      <c r="F23">
        <f>M23/$A23</f>
        <v>98.379956663103641</v>
      </c>
      <c r="H23">
        <v>1.93</v>
      </c>
      <c r="L23">
        <v>454.907787726192</v>
      </c>
      <c r="M23">
        <v>189.87331635979001</v>
      </c>
    </row>
    <row r="24" spans="1:13" x14ac:dyDescent="0.2">
      <c r="A24">
        <v>1.94</v>
      </c>
      <c r="E24">
        <f>L24/$A24</f>
        <v>601.95494094430933</v>
      </c>
      <c r="F24">
        <f>M24/$A24</f>
        <v>136.09898209717267</v>
      </c>
      <c r="H24">
        <v>1.94</v>
      </c>
      <c r="L24">
        <v>1167.7925854319601</v>
      </c>
      <c r="M24">
        <v>264.03202526851499</v>
      </c>
    </row>
    <row r="25" spans="1:13" x14ac:dyDescent="0.2">
      <c r="A25">
        <v>1.95</v>
      </c>
      <c r="F25">
        <f>M25/$A25</f>
        <v>205.24811715829591</v>
      </c>
      <c r="H25">
        <v>1.95</v>
      </c>
      <c r="M25">
        <v>400.23382845867701</v>
      </c>
    </row>
    <row r="26" spans="1:13" x14ac:dyDescent="0.2">
      <c r="A26">
        <v>1.96</v>
      </c>
      <c r="F26">
        <f>M26/$A26</f>
        <v>384.03680040035511</v>
      </c>
      <c r="H26">
        <v>1.96</v>
      </c>
      <c r="M26">
        <v>752.71212878469601</v>
      </c>
    </row>
    <row r="27" spans="1:13" x14ac:dyDescent="0.2">
      <c r="A27">
        <v>1.97</v>
      </c>
      <c r="F27">
        <f>M27/$A27</f>
        <v>818.58231901016245</v>
      </c>
      <c r="H27">
        <v>1.97</v>
      </c>
      <c r="M27">
        <v>1612.60716845002</v>
      </c>
    </row>
    <row r="28" spans="1:13" x14ac:dyDescent="0.2">
      <c r="A28">
        <v>1.98</v>
      </c>
      <c r="H28">
        <v>1.98</v>
      </c>
    </row>
    <row r="29" spans="1:13" x14ac:dyDescent="0.2">
      <c r="A29">
        <v>1.99</v>
      </c>
      <c r="H29">
        <v>1.99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6244-08E0-7D48-A64A-CD7BADC179BF}">
  <dimension ref="A1:S45"/>
  <sheetViews>
    <sheetView zoomScale="75" workbookViewId="0">
      <selection sqref="A1:XFD1"/>
    </sheetView>
  </sheetViews>
  <sheetFormatPr baseColWidth="10" defaultRowHeight="16" x14ac:dyDescent="0.2"/>
  <cols>
    <col min="13" max="13" width="20.1640625" customWidth="1"/>
    <col min="21" max="21" width="23.33203125" customWidth="1"/>
  </cols>
  <sheetData>
    <row r="1" spans="1:19" x14ac:dyDescent="0.2">
      <c r="A1" t="s">
        <v>18</v>
      </c>
      <c r="B1" t="s">
        <v>1</v>
      </c>
      <c r="C1" t="s">
        <v>2</v>
      </c>
      <c r="D1" t="s">
        <v>3</v>
      </c>
      <c r="E1" t="s">
        <v>21</v>
      </c>
      <c r="F1" t="s">
        <v>12</v>
      </c>
      <c r="H1" t="s">
        <v>1</v>
      </c>
      <c r="I1" t="s">
        <v>2</v>
      </c>
      <c r="J1" t="s">
        <v>3</v>
      </c>
      <c r="K1" t="s">
        <v>21</v>
      </c>
      <c r="L1" t="s">
        <v>12</v>
      </c>
      <c r="M1" s="1"/>
      <c r="S1" s="1"/>
    </row>
    <row r="2" spans="1:19" x14ac:dyDescent="0.2">
      <c r="A2">
        <v>1</v>
      </c>
      <c r="B2">
        <f>H2/$A2</f>
        <v>3.1985965791603501</v>
      </c>
      <c r="C2">
        <f>I2/$A2</f>
        <v>2.1523444290927798</v>
      </c>
      <c r="D2">
        <f>J2/$A2</f>
        <v>3.0862318173600398</v>
      </c>
      <c r="E2">
        <f>K2/$A2</f>
        <v>2.7032616165488998</v>
      </c>
      <c r="F2">
        <f>L2/$A2</f>
        <v>2.1297837137358302</v>
      </c>
      <c r="H2">
        <v>3.1985965791603501</v>
      </c>
      <c r="I2">
        <v>2.1523444290927798</v>
      </c>
      <c r="J2">
        <v>3.0862318173600398</v>
      </c>
      <c r="K2">
        <v>2.7032616165488998</v>
      </c>
      <c r="L2">
        <v>2.1297837137358302</v>
      </c>
    </row>
    <row r="3" spans="1:19" x14ac:dyDescent="0.2">
      <c r="A3">
        <v>1.1000000000000001</v>
      </c>
      <c r="B3">
        <f>H3/$A3</f>
        <v>4.3113217568564632</v>
      </c>
      <c r="C3">
        <f>I3/$A3</f>
        <v>2.4518088047657454</v>
      </c>
      <c r="D3">
        <f>J3/$A3</f>
        <v>4.03333386737269</v>
      </c>
      <c r="E3">
        <f>K3/$A3</f>
        <v>3.5413182964236909</v>
      </c>
      <c r="F3">
        <f>L3/$A3</f>
        <v>2.4171259288411271</v>
      </c>
      <c r="H3">
        <v>4.7424539325421096</v>
      </c>
      <c r="I3">
        <v>2.6969896852423201</v>
      </c>
      <c r="J3">
        <v>4.4366672541099597</v>
      </c>
      <c r="K3">
        <v>3.8954501260660601</v>
      </c>
      <c r="L3">
        <v>2.6588385217252402</v>
      </c>
    </row>
    <row r="4" spans="1:19" x14ac:dyDescent="0.2">
      <c r="A4">
        <v>1.2</v>
      </c>
      <c r="B4">
        <f>H4/$A4</f>
        <v>6.5659949702722171</v>
      </c>
      <c r="C4">
        <f>I4/$A4</f>
        <v>2.8434162722528082</v>
      </c>
      <c r="D4">
        <f>J4/$A4</f>
        <v>5.6962371087992505</v>
      </c>
      <c r="E4">
        <f>K4/$A4</f>
        <v>5.3461508395485673</v>
      </c>
      <c r="F4">
        <f>L4/$A4</f>
        <v>2.7903490800607003</v>
      </c>
      <c r="H4">
        <v>7.8791939643266602</v>
      </c>
      <c r="I4">
        <v>3.4120995267033698</v>
      </c>
      <c r="J4">
        <v>6.8354845305590999</v>
      </c>
      <c r="K4">
        <v>6.4153810074582802</v>
      </c>
      <c r="L4">
        <v>3.34841889607284</v>
      </c>
    </row>
    <row r="5" spans="1:19" x14ac:dyDescent="0.2">
      <c r="A5">
        <v>1.3</v>
      </c>
      <c r="B5">
        <f>H5/$A5</f>
        <v>13.677644153816846</v>
      </c>
      <c r="C5">
        <f>I5/$A5</f>
        <v>3.3853052664962076</v>
      </c>
      <c r="D5">
        <f>J5/$A5</f>
        <v>9.0135176476805388</v>
      </c>
      <c r="E5">
        <f>K5/$A5</f>
        <v>12.958338612956538</v>
      </c>
      <c r="F5">
        <f>L5/$A5</f>
        <v>3.2958245590417463</v>
      </c>
      <c r="H5">
        <v>17.7809373999619</v>
      </c>
      <c r="I5">
        <v>4.40089684644507</v>
      </c>
      <c r="J5">
        <v>11.717572941984701</v>
      </c>
      <c r="K5">
        <v>16.845840196843501</v>
      </c>
      <c r="L5">
        <v>4.2845719267542703</v>
      </c>
    </row>
    <row r="6" spans="1:19" x14ac:dyDescent="0.2">
      <c r="A6">
        <v>1.31</v>
      </c>
      <c r="H6">
        <v>20.080978440799399</v>
      </c>
      <c r="K6">
        <v>20.110309972394901</v>
      </c>
    </row>
    <row r="7" spans="1:19" x14ac:dyDescent="0.2">
      <c r="A7">
        <v>1.32</v>
      </c>
      <c r="B7">
        <f>H7/$A7</f>
        <v>17.468064889224166</v>
      </c>
      <c r="E7">
        <f>K7/$A7</f>
        <v>18.815794331050075</v>
      </c>
      <c r="H7">
        <v>23.0578456537759</v>
      </c>
      <c r="K7">
        <v>24.836848516986102</v>
      </c>
    </row>
    <row r="8" spans="1:19" x14ac:dyDescent="0.2">
      <c r="A8">
        <v>1.33</v>
      </c>
      <c r="H8">
        <v>27.3430928105081</v>
      </c>
      <c r="K8">
        <v>32.415582072930199</v>
      </c>
    </row>
    <row r="9" spans="1:19" x14ac:dyDescent="0.2">
      <c r="A9">
        <v>1.34</v>
      </c>
      <c r="B9">
        <f>H9/$A9</f>
        <v>24.80947416068895</v>
      </c>
      <c r="E9">
        <f>K9/$A9</f>
        <v>34.317842574714327</v>
      </c>
      <c r="H9">
        <v>33.244695375323197</v>
      </c>
      <c r="K9">
        <v>45.985909050117201</v>
      </c>
    </row>
    <row r="10" spans="1:19" x14ac:dyDescent="0.2">
      <c r="A10">
        <v>1.35</v>
      </c>
      <c r="E10">
        <f>K10/$A10</f>
        <v>60.581737102649335</v>
      </c>
      <c r="H10">
        <v>41.502484337756897</v>
      </c>
      <c r="K10">
        <v>81.785345088576605</v>
      </c>
    </row>
    <row r="11" spans="1:19" x14ac:dyDescent="0.2">
      <c r="A11">
        <v>1.36</v>
      </c>
      <c r="B11">
        <f>H11/$A11</f>
        <v>39.555016860264409</v>
      </c>
      <c r="E11">
        <f>K11/$A11</f>
        <v>418.08195031738455</v>
      </c>
      <c r="H11">
        <v>53.794822929959601</v>
      </c>
      <c r="K11">
        <v>568.59145243164301</v>
      </c>
    </row>
    <row r="12" spans="1:19" x14ac:dyDescent="0.2">
      <c r="A12">
        <v>1.37</v>
      </c>
      <c r="H12">
        <v>75.451054841113702</v>
      </c>
      <c r="K12">
        <v>2133.7123512641301</v>
      </c>
    </row>
    <row r="13" spans="1:19" x14ac:dyDescent="0.2">
      <c r="A13">
        <v>1.38</v>
      </c>
      <c r="B13">
        <f>H13/$A13</f>
        <v>93.097402999537692</v>
      </c>
      <c r="H13">
        <v>128.47441613936201</v>
      </c>
    </row>
    <row r="14" spans="1:19" x14ac:dyDescent="0.2">
      <c r="A14">
        <v>1.39</v>
      </c>
      <c r="B14">
        <f>H14/$A14</f>
        <v>289.47140485050721</v>
      </c>
      <c r="H14">
        <v>402.36525274220497</v>
      </c>
    </row>
    <row r="15" spans="1:19" x14ac:dyDescent="0.2">
      <c r="A15">
        <v>1.4</v>
      </c>
      <c r="C15">
        <f>I15/$A15</f>
        <v>4.1751748409122289</v>
      </c>
      <c r="D15">
        <f>J15/$A15</f>
        <v>17.324589118692217</v>
      </c>
      <c r="F15">
        <f>L15/$A15</f>
        <v>4.0040260128038936</v>
      </c>
      <c r="I15">
        <v>5.8452447772771201</v>
      </c>
      <c r="J15">
        <v>24.254424766169102</v>
      </c>
      <c r="L15">
        <v>5.6056364179254503</v>
      </c>
    </row>
    <row r="16" spans="1:19" x14ac:dyDescent="0.2">
      <c r="A16">
        <v>1.5</v>
      </c>
      <c r="C16">
        <f>I16/$A16</f>
        <v>5.3996265298774331</v>
      </c>
      <c r="D16">
        <f>J16/$A16</f>
        <v>58.962931961943205</v>
      </c>
      <c r="F16">
        <f>L16/$A16</f>
        <v>5.0472841125097068</v>
      </c>
      <c r="I16">
        <v>8.0994397948161492</v>
      </c>
      <c r="J16">
        <v>88.444397942914804</v>
      </c>
      <c r="L16">
        <v>7.5709261687645597</v>
      </c>
    </row>
    <row r="17" spans="1:12" x14ac:dyDescent="0.2">
      <c r="A17">
        <v>1.51</v>
      </c>
      <c r="J17">
        <v>109.032937611337</v>
      </c>
      <c r="L17">
        <v>10.74830430045</v>
      </c>
    </row>
    <row r="18" spans="1:12" x14ac:dyDescent="0.2">
      <c r="A18">
        <v>1.52</v>
      </c>
      <c r="D18">
        <f>J18/$A18</f>
        <v>89.656157150487502</v>
      </c>
      <c r="J18">
        <v>136.277358868741</v>
      </c>
    </row>
    <row r="19" spans="1:12" x14ac:dyDescent="0.2">
      <c r="A19">
        <v>1.53</v>
      </c>
      <c r="J19">
        <v>173.05753218985001</v>
      </c>
    </row>
    <row r="20" spans="1:12" x14ac:dyDescent="0.2">
      <c r="A20">
        <v>1.54</v>
      </c>
      <c r="D20">
        <f>J20/$A20</f>
        <v>150.27136098820779</v>
      </c>
      <c r="J20">
        <v>231.41789592184</v>
      </c>
    </row>
    <row r="21" spans="1:12" x14ac:dyDescent="0.2">
      <c r="A21">
        <v>1.55</v>
      </c>
      <c r="J21">
        <v>327.55542351373401</v>
      </c>
    </row>
    <row r="22" spans="1:12" x14ac:dyDescent="0.2">
      <c r="A22">
        <v>1.56</v>
      </c>
      <c r="D22">
        <f>J22/$A22</f>
        <v>315.53828294940126</v>
      </c>
      <c r="J22">
        <v>492.23972140106599</v>
      </c>
    </row>
    <row r="23" spans="1:12" x14ac:dyDescent="0.2">
      <c r="A23">
        <v>1.57</v>
      </c>
      <c r="D23">
        <f>J23/$A23</f>
        <v>525.00268011210892</v>
      </c>
      <c r="J23">
        <v>824.25420777601096</v>
      </c>
    </row>
    <row r="24" spans="1:12" x14ac:dyDescent="0.2">
      <c r="A24">
        <v>1.6</v>
      </c>
      <c r="C24">
        <f>I24/$A24</f>
        <v>7.5330038694742489</v>
      </c>
      <c r="F24">
        <f>L17/$A24</f>
        <v>6.7176901877812494</v>
      </c>
      <c r="I24">
        <v>12.052806191158799</v>
      </c>
      <c r="L24">
        <v>16.762811079602699</v>
      </c>
    </row>
    <row r="25" spans="1:12" x14ac:dyDescent="0.2">
      <c r="A25">
        <v>1.7</v>
      </c>
      <c r="C25">
        <f>I25/$A25</f>
        <v>11.990259513592294</v>
      </c>
      <c r="F25">
        <f>L24/$A25</f>
        <v>9.8604771056486467</v>
      </c>
      <c r="I25">
        <v>20.383441173106899</v>
      </c>
      <c r="L25">
        <v>31.658993279619899</v>
      </c>
    </row>
    <row r="26" spans="1:12" x14ac:dyDescent="0.2">
      <c r="A26">
        <v>1.8</v>
      </c>
      <c r="C26">
        <f>I26/$A26</f>
        <v>25.130290096183334</v>
      </c>
      <c r="F26">
        <f>L25/$A26</f>
        <v>17.588329599788832</v>
      </c>
      <c r="I26">
        <v>45.234522173130003</v>
      </c>
      <c r="L26">
        <v>34.368866195367801</v>
      </c>
    </row>
    <row r="27" spans="1:12" x14ac:dyDescent="0.2">
      <c r="A27">
        <v>1.81</v>
      </c>
      <c r="C27">
        <f>I27/$A27</f>
        <v>27.787303832813095</v>
      </c>
      <c r="F27">
        <f>L26/$A27</f>
        <v>18.988323864844087</v>
      </c>
      <c r="I27">
        <v>50.2950199373917</v>
      </c>
      <c r="L27">
        <v>37.453671114139702</v>
      </c>
    </row>
    <row r="28" spans="1:12" x14ac:dyDescent="0.2">
      <c r="A28">
        <v>1.82</v>
      </c>
      <c r="C28">
        <f>I28/$A28</f>
        <v>30.937454832296154</v>
      </c>
      <c r="F28">
        <f>L27/$A28</f>
        <v>20.578940172604231</v>
      </c>
      <c r="I28">
        <v>56.306167794779</v>
      </c>
      <c r="L28">
        <v>41.127861438870198</v>
      </c>
    </row>
    <row r="29" spans="1:12" x14ac:dyDescent="0.2">
      <c r="A29">
        <v>1.83</v>
      </c>
      <c r="C29">
        <f>I29/$A29</f>
        <v>34.645236111439289</v>
      </c>
      <c r="F29">
        <f>L28/$A29</f>
        <v>22.474241223426336</v>
      </c>
      <c r="I29">
        <v>63.400782083933898</v>
      </c>
      <c r="L29">
        <v>45.396758791063696</v>
      </c>
    </row>
    <row r="30" spans="1:12" x14ac:dyDescent="0.2">
      <c r="A30">
        <v>1.84</v>
      </c>
      <c r="C30">
        <f>I30/$A30</f>
        <v>39.079946984764291</v>
      </c>
      <c r="F30">
        <f>L29/$A30</f>
        <v>24.672151516882444</v>
      </c>
      <c r="I30">
        <v>71.907102451966296</v>
      </c>
      <c r="L30">
        <v>50.591738817833701</v>
      </c>
    </row>
    <row r="31" spans="1:12" x14ac:dyDescent="0.2">
      <c r="A31">
        <v>1.85</v>
      </c>
      <c r="C31">
        <f>I31/$A31</f>
        <v>44.403272088378159</v>
      </c>
      <c r="F31">
        <f>L30/$A31</f>
        <v>27.346885847477676</v>
      </c>
      <c r="I31">
        <v>82.146053363499604</v>
      </c>
      <c r="L31">
        <v>56.658401088316701</v>
      </c>
    </row>
    <row r="32" spans="1:12" x14ac:dyDescent="0.2">
      <c r="A32">
        <v>1.86</v>
      </c>
      <c r="C32">
        <f>I32/$A32</f>
        <v>50.94920240463231</v>
      </c>
      <c r="F32">
        <f>L31/$A32</f>
        <v>30.461505961460592</v>
      </c>
      <c r="I32">
        <v>94.765516472616099</v>
      </c>
      <c r="L32">
        <v>63.998042461831801</v>
      </c>
    </row>
    <row r="33" spans="1:12" x14ac:dyDescent="0.2">
      <c r="A33">
        <v>1.87</v>
      </c>
      <c r="C33">
        <f>I33/$A33</f>
        <v>59.200178770144383</v>
      </c>
      <c r="F33">
        <f>L32/$A33</f>
        <v>34.223552118626628</v>
      </c>
      <c r="I33">
        <v>110.70433430017</v>
      </c>
      <c r="L33">
        <v>72.832202036372607</v>
      </c>
    </row>
    <row r="34" spans="1:12" x14ac:dyDescent="0.2">
      <c r="A34">
        <v>1.88</v>
      </c>
      <c r="C34">
        <f>I34/$A34</f>
        <v>69.734968676355322</v>
      </c>
      <c r="F34">
        <f>L33/$A34</f>
        <v>38.740532998070535</v>
      </c>
      <c r="I34">
        <v>131.10174111154799</v>
      </c>
      <c r="L34">
        <v>83.962102110330306</v>
      </c>
    </row>
    <row r="35" spans="1:12" x14ac:dyDescent="0.2">
      <c r="A35">
        <v>1.89</v>
      </c>
      <c r="C35">
        <f>I35/$A35</f>
        <v>83.906232210248163</v>
      </c>
      <c r="F35">
        <f>L34/$A35</f>
        <v>44.424392650968421</v>
      </c>
      <c r="I35">
        <v>158.58277887736901</v>
      </c>
      <c r="L35">
        <v>98.216078972546896</v>
      </c>
    </row>
    <row r="36" spans="1:12" x14ac:dyDescent="0.2">
      <c r="A36">
        <v>1.9</v>
      </c>
      <c r="C36">
        <f>I36/$A36</f>
        <v>103.18822984647896</v>
      </c>
      <c r="F36">
        <f>L35/$A36</f>
        <v>51.692673143445738</v>
      </c>
      <c r="I36">
        <v>196.05763670831001</v>
      </c>
      <c r="L36">
        <v>117.715669162293</v>
      </c>
    </row>
    <row r="37" spans="1:12" x14ac:dyDescent="0.2">
      <c r="A37">
        <v>1.91</v>
      </c>
      <c r="C37">
        <f>I37/$A37</f>
        <v>128.97513309956753</v>
      </c>
      <c r="F37">
        <f>L36/$A37</f>
        <v>61.631240399106282</v>
      </c>
      <c r="I37">
        <v>246.34250422017399</v>
      </c>
      <c r="L37">
        <v>146.47930668161001</v>
      </c>
    </row>
    <row r="38" spans="1:12" x14ac:dyDescent="0.2">
      <c r="A38">
        <v>1.92</v>
      </c>
      <c r="C38">
        <f>I38/$A38</f>
        <v>166.89296052328439</v>
      </c>
      <c r="F38">
        <f>L37/$A38</f>
        <v>76.291305563338554</v>
      </c>
      <c r="I38">
        <v>320.434484204706</v>
      </c>
      <c r="L38">
        <v>189.87331635979001</v>
      </c>
    </row>
    <row r="39" spans="1:12" x14ac:dyDescent="0.2">
      <c r="A39">
        <v>1.93</v>
      </c>
      <c r="C39">
        <f>I39/$A39</f>
        <v>221.82354563538397</v>
      </c>
      <c r="F39">
        <f>L38/$A39</f>
        <v>98.379956663103641</v>
      </c>
      <c r="I39">
        <v>428.11944307629102</v>
      </c>
      <c r="L39">
        <v>264.03202526851499</v>
      </c>
    </row>
    <row r="40" spans="1:12" x14ac:dyDescent="0.2">
      <c r="A40">
        <v>1.94</v>
      </c>
      <c r="C40">
        <f>I40/$A40</f>
        <v>308.51643011784125</v>
      </c>
      <c r="F40">
        <f>L39/$A40</f>
        <v>136.09898209717267</v>
      </c>
      <c r="I40">
        <v>598.52187442861202</v>
      </c>
      <c r="L40">
        <v>400.23382845867701</v>
      </c>
    </row>
    <row r="41" spans="1:12" x14ac:dyDescent="0.2">
      <c r="A41">
        <v>1.95</v>
      </c>
      <c r="C41">
        <f>I41/$A41</f>
        <v>451.63885651483849</v>
      </c>
      <c r="F41">
        <f>L40/$A41</f>
        <v>205.24811715829591</v>
      </c>
      <c r="I41">
        <v>880.69577020393501</v>
      </c>
      <c r="L41">
        <v>752.71212878469601</v>
      </c>
    </row>
    <row r="42" spans="1:12" x14ac:dyDescent="0.2">
      <c r="A42">
        <v>1.96</v>
      </c>
      <c r="C42">
        <f>I42/$A42</f>
        <v>684.45823921790316</v>
      </c>
      <c r="F42">
        <f>L41/$A42</f>
        <v>384.03680040035511</v>
      </c>
      <c r="I42">
        <v>1341.5381488670901</v>
      </c>
      <c r="L42">
        <v>1612.60716845002</v>
      </c>
    </row>
    <row r="43" spans="1:12" x14ac:dyDescent="0.2">
      <c r="A43">
        <v>1.97</v>
      </c>
      <c r="F43">
        <f>L42/$A43</f>
        <v>818.58231901016245</v>
      </c>
      <c r="I43" s="1"/>
    </row>
    <row r="44" spans="1:12" x14ac:dyDescent="0.2">
      <c r="A44">
        <v>1.98</v>
      </c>
      <c r="I44" s="1"/>
    </row>
    <row r="45" spans="1:12" x14ac:dyDescent="0.2">
      <c r="A45">
        <v>1.99</v>
      </c>
      <c r="I4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E5E4-1870-6447-974A-0261C9A6AB29}">
  <dimension ref="A1:P66"/>
  <sheetViews>
    <sheetView zoomScale="62" workbookViewId="0">
      <selection activeCell="M29" sqref="M29"/>
    </sheetView>
  </sheetViews>
  <sheetFormatPr baseColWidth="10" defaultRowHeight="16" x14ac:dyDescent="0.2"/>
  <sheetData>
    <row r="1" spans="1:16" x14ac:dyDescent="0.2">
      <c r="A1" t="s">
        <v>18</v>
      </c>
      <c r="B1" t="s">
        <v>6</v>
      </c>
      <c r="C1" t="s">
        <v>5</v>
      </c>
      <c r="D1" t="s">
        <v>8</v>
      </c>
      <c r="E1" t="s">
        <v>15</v>
      </c>
      <c r="F1" t="s">
        <v>14</v>
      </c>
      <c r="G1" t="s">
        <v>12</v>
      </c>
      <c r="J1" t="s">
        <v>18</v>
      </c>
      <c r="K1" t="s">
        <v>6</v>
      </c>
      <c r="L1" t="s">
        <v>5</v>
      </c>
      <c r="M1" t="s">
        <v>8</v>
      </c>
      <c r="N1" t="s">
        <v>15</v>
      </c>
      <c r="O1" t="s">
        <v>14</v>
      </c>
      <c r="P1" t="s">
        <v>12</v>
      </c>
    </row>
    <row r="2" spans="1:16" x14ac:dyDescent="0.2">
      <c r="A2" s="1">
        <v>1</v>
      </c>
      <c r="B2">
        <f>K2/$A2</f>
        <v>3.26169853548119</v>
      </c>
      <c r="C2">
        <f>L2/$A2</f>
        <v>4.7732349769468403</v>
      </c>
      <c r="D2">
        <f>M2/$A2</f>
        <v>8.8500200703499701</v>
      </c>
      <c r="E2">
        <f>N2/$A2</f>
        <v>2.2255397924676599</v>
      </c>
      <c r="F2">
        <f>O2/$A2</f>
        <v>2.10132734729005</v>
      </c>
      <c r="G2">
        <f>P2/$A2</f>
        <v>2.1340903499639698</v>
      </c>
      <c r="J2" s="1">
        <v>1</v>
      </c>
      <c r="K2">
        <v>3.26169853548119</v>
      </c>
      <c r="L2">
        <v>4.7732349769468403</v>
      </c>
      <c r="M2">
        <v>8.8500200703499701</v>
      </c>
      <c r="N2">
        <v>2.2255397924676599</v>
      </c>
      <c r="O2">
        <v>2.10132734729005</v>
      </c>
      <c r="P2">
        <v>2.1340903499639698</v>
      </c>
    </row>
    <row r="3" spans="1:16" x14ac:dyDescent="0.2">
      <c r="A3" s="1">
        <v>1.1000000000000001</v>
      </c>
      <c r="B3">
        <f>K3/$A3</f>
        <v>3.9211399872024084</v>
      </c>
      <c r="C3">
        <f>L3/$A3</f>
        <v>6.0328340832856178</v>
      </c>
      <c r="D3">
        <f>M3/$A3</f>
        <v>13.793647352353181</v>
      </c>
      <c r="E3">
        <f>N3/$A3</f>
        <v>2.5467114464707907</v>
      </c>
      <c r="F3">
        <f>O3/$A3</f>
        <v>2.3731210620194361</v>
      </c>
      <c r="G3">
        <f>P3/$A3</f>
        <v>2.4236885227277813</v>
      </c>
      <c r="J3" s="1">
        <v>1.1000000000000001</v>
      </c>
      <c r="K3">
        <v>4.3132539859226497</v>
      </c>
      <c r="L3">
        <v>6.6361174916141801</v>
      </c>
      <c r="M3">
        <v>15.1730120875885</v>
      </c>
      <c r="N3">
        <v>2.80138259111787</v>
      </c>
      <c r="O3">
        <v>2.6104331682213799</v>
      </c>
      <c r="P3">
        <v>2.6660573750005598</v>
      </c>
    </row>
    <row r="4" spans="1:16" x14ac:dyDescent="0.2">
      <c r="A4" s="1">
        <v>1.2</v>
      </c>
      <c r="B4">
        <f>K4/$A4</f>
        <v>4.876060641232475</v>
      </c>
      <c r="C4">
        <f>L4/$A4</f>
        <v>7.6514955403773</v>
      </c>
      <c r="D4">
        <f>M4/$A4</f>
        <v>20.246300590410168</v>
      </c>
      <c r="E4">
        <f>N4/$A4</f>
        <v>2.9775292549429668</v>
      </c>
      <c r="F4">
        <f>O4/$A4</f>
        <v>2.7273497051226085</v>
      </c>
      <c r="G4">
        <f>P4/$A4</f>
        <v>2.7999210330077418</v>
      </c>
      <c r="J4" s="1">
        <v>1.2</v>
      </c>
      <c r="K4">
        <v>5.8512727694789701</v>
      </c>
      <c r="L4">
        <v>9.1817946484527599</v>
      </c>
      <c r="M4">
        <v>24.2955607084922</v>
      </c>
      <c r="N4">
        <v>3.5730351059315599</v>
      </c>
      <c r="O4">
        <v>3.2728196461471302</v>
      </c>
      <c r="P4">
        <v>3.3599052396092901</v>
      </c>
    </row>
    <row r="5" spans="1:16" x14ac:dyDescent="0.2">
      <c r="A5" s="1">
        <v>1.3</v>
      </c>
      <c r="B5">
        <f>K5/$A5</f>
        <v>6.4230079947258147</v>
      </c>
      <c r="C5">
        <f>L5/$A5</f>
        <v>9.7547280633372306</v>
      </c>
      <c r="D5">
        <f>M5/$A5</f>
        <v>27.600798418279847</v>
      </c>
      <c r="E5">
        <f>N5/$A5</f>
        <v>3.5909113609380614</v>
      </c>
      <c r="F5">
        <f>O5/$A5</f>
        <v>3.2024682784085305</v>
      </c>
      <c r="G5">
        <f>P5/$A5</f>
        <v>3.3091575062363687</v>
      </c>
      <c r="J5" s="1">
        <v>1.3</v>
      </c>
      <c r="K5">
        <v>8.3499103931435599</v>
      </c>
      <c r="L5">
        <v>12.6811464823384</v>
      </c>
      <c r="M5">
        <v>35.881037943763801</v>
      </c>
      <c r="N5">
        <v>4.6681847692194802</v>
      </c>
      <c r="O5">
        <v>4.1632087619310898</v>
      </c>
      <c r="P5">
        <v>4.3019047581072796</v>
      </c>
    </row>
    <row r="6" spans="1:16" x14ac:dyDescent="0.2">
      <c r="A6" s="1">
        <v>1.4</v>
      </c>
      <c r="B6">
        <f>K6/$A6</f>
        <v>9.424380190442001</v>
      </c>
      <c r="C6">
        <f>L6/$A6</f>
        <v>12.57472034465</v>
      </c>
      <c r="D6">
        <f>M6/$A6</f>
        <v>36.825913076609361</v>
      </c>
      <c r="E6">
        <f>N6/$A6</f>
        <v>4.5342784232632578</v>
      </c>
      <c r="F6">
        <f>O6/$A6</f>
        <v>3.8749851886146858</v>
      </c>
      <c r="G6">
        <f>P6/$A6</f>
        <v>4.0240814162329714</v>
      </c>
      <c r="J6" s="1">
        <v>1.4</v>
      </c>
      <c r="K6">
        <v>13.1941322666188</v>
      </c>
      <c r="L6">
        <v>17.604608482509999</v>
      </c>
      <c r="M6">
        <v>51.556278307253102</v>
      </c>
      <c r="N6">
        <v>6.3479897925685602</v>
      </c>
      <c r="O6">
        <v>5.4249792640605596</v>
      </c>
      <c r="P6">
        <v>5.6337139827261602</v>
      </c>
    </row>
    <row r="7" spans="1:16" x14ac:dyDescent="0.2">
      <c r="A7" s="1">
        <v>1.5</v>
      </c>
      <c r="B7">
        <f>K7/$A7</f>
        <v>18.558310889527334</v>
      </c>
      <c r="C7">
        <f>L7/$A7</f>
        <v>16.808232721570132</v>
      </c>
      <c r="D7">
        <f>M7/$A7</f>
        <v>49.551784655564802</v>
      </c>
      <c r="E7">
        <f>N7/$A7</f>
        <v>6.1491717274757463</v>
      </c>
      <c r="F7">
        <f>O7/$A7</f>
        <v>4.8893867907167001</v>
      </c>
      <c r="G7">
        <f>P7/$A7</f>
        <v>5.0785318229442202</v>
      </c>
      <c r="J7" s="1">
        <v>1.5</v>
      </c>
      <c r="K7">
        <v>27.837466334291001</v>
      </c>
      <c r="L7">
        <v>25.2123490823552</v>
      </c>
      <c r="M7">
        <v>74.327676983347203</v>
      </c>
      <c r="N7">
        <v>9.2237575912136194</v>
      </c>
      <c r="O7">
        <v>7.3340801860750497</v>
      </c>
      <c r="P7">
        <v>7.6177977344163299</v>
      </c>
    </row>
    <row r="8" spans="1:16" x14ac:dyDescent="0.2">
      <c r="A8" s="1">
        <v>1.51</v>
      </c>
      <c r="J8" s="1">
        <v>1.51</v>
      </c>
      <c r="K8">
        <v>31.283060146679102</v>
      </c>
    </row>
    <row r="9" spans="1:16" x14ac:dyDescent="0.2">
      <c r="A9" s="1">
        <v>1.52</v>
      </c>
      <c r="J9" s="1">
        <v>1.52</v>
      </c>
      <c r="K9">
        <v>35.527394111865298</v>
      </c>
    </row>
    <row r="10" spans="1:16" x14ac:dyDescent="0.2">
      <c r="A10" s="1">
        <v>1.53</v>
      </c>
      <c r="B10">
        <f>K10/$A10</f>
        <v>26.77571104501412</v>
      </c>
      <c r="J10" s="1">
        <v>1.53</v>
      </c>
      <c r="K10">
        <v>40.966837898871603</v>
      </c>
    </row>
    <row r="11" spans="1:16" x14ac:dyDescent="0.2">
      <c r="A11" s="1">
        <v>1.54</v>
      </c>
      <c r="J11" s="1">
        <v>1.54</v>
      </c>
      <c r="K11">
        <v>48.201649172631399</v>
      </c>
    </row>
    <row r="12" spans="1:16" x14ac:dyDescent="0.2">
      <c r="A12" s="1">
        <v>1.55</v>
      </c>
      <c r="J12" s="1">
        <v>1.55</v>
      </c>
      <c r="K12">
        <v>58.258831822970699</v>
      </c>
    </row>
    <row r="13" spans="1:16" x14ac:dyDescent="0.2">
      <c r="A13" s="1">
        <v>1.56</v>
      </c>
      <c r="B13">
        <f>K13/$A13</f>
        <v>47.155213390494417</v>
      </c>
      <c r="J13" s="1">
        <v>1.56</v>
      </c>
      <c r="K13">
        <v>73.562132889171295</v>
      </c>
    </row>
    <row r="14" spans="1:16" x14ac:dyDescent="0.2">
      <c r="A14" s="1">
        <v>1.57</v>
      </c>
      <c r="J14" s="1">
        <v>1.57</v>
      </c>
      <c r="K14">
        <v>98.621994106041896</v>
      </c>
    </row>
    <row r="15" spans="1:16" x14ac:dyDescent="0.2">
      <c r="A15" s="1">
        <v>1.58</v>
      </c>
      <c r="B15">
        <f>K15/$A15</f>
        <v>108.91906697032277</v>
      </c>
      <c r="J15" s="1">
        <v>1.58</v>
      </c>
      <c r="K15">
        <v>172.09212581310999</v>
      </c>
    </row>
    <row r="16" spans="1:16" x14ac:dyDescent="0.2">
      <c r="A16" s="1">
        <v>1.59</v>
      </c>
      <c r="B16">
        <f>K16/$A16</f>
        <v>407.01036625337292</v>
      </c>
      <c r="J16" s="1">
        <v>1.59</v>
      </c>
      <c r="K16">
        <v>647.14648234286301</v>
      </c>
    </row>
    <row r="17" spans="1:16" x14ac:dyDescent="0.2">
      <c r="A17" s="1">
        <v>1.6</v>
      </c>
      <c r="C17">
        <f>L17/$A17</f>
        <v>24.040998232314124</v>
      </c>
      <c r="D17">
        <f>M17/$A17</f>
        <v>68.751666745604993</v>
      </c>
      <c r="E17">
        <f>N17/$A17</f>
        <v>9.5585171297083118</v>
      </c>
      <c r="F17">
        <f>O17/$A17</f>
        <v>6.5794103582037495</v>
      </c>
      <c r="G17">
        <f>P17/$A17</f>
        <v>6.7790780891256874</v>
      </c>
      <c r="I17" s="1"/>
      <c r="J17" s="1">
        <v>1.6</v>
      </c>
      <c r="L17">
        <v>38.465597171702598</v>
      </c>
      <c r="M17">
        <v>110.002666792968</v>
      </c>
      <c r="N17">
        <v>15.2936274075333</v>
      </c>
      <c r="O17">
        <v>10.527056573126</v>
      </c>
      <c r="P17">
        <v>10.8465249426011</v>
      </c>
    </row>
    <row r="18" spans="1:16" x14ac:dyDescent="0.2">
      <c r="A18" s="1">
        <v>1.7</v>
      </c>
      <c r="C18">
        <f>L18/$A18</f>
        <v>39.350167436755122</v>
      </c>
      <c r="D18">
        <f>M18/$A18</f>
        <v>101.60659493141942</v>
      </c>
      <c r="E18">
        <f>N18/$A18</f>
        <v>20.179711138526709</v>
      </c>
      <c r="F18">
        <f>O18/$A18</f>
        <v>10.200617525443294</v>
      </c>
      <c r="G18">
        <f>P18/$A18</f>
        <v>9.9727903568130003</v>
      </c>
      <c r="J18" s="1">
        <v>1.7</v>
      </c>
      <c r="L18">
        <v>66.895284642483702</v>
      </c>
      <c r="M18">
        <v>172.73121138341301</v>
      </c>
      <c r="N18">
        <v>34.305508935495403</v>
      </c>
      <c r="O18">
        <v>17.3410497932536</v>
      </c>
      <c r="P18">
        <v>16.953743606582101</v>
      </c>
    </row>
    <row r="19" spans="1:16" x14ac:dyDescent="0.2">
      <c r="A19" s="1">
        <v>1.8</v>
      </c>
      <c r="C19">
        <f>L19/$A19</f>
        <v>89.811099185403322</v>
      </c>
      <c r="D19">
        <f>M19/$A19</f>
        <v>170.99698317928667</v>
      </c>
      <c r="E19">
        <f>N19/$A19</f>
        <v>129.2601625951811</v>
      </c>
      <c r="F19">
        <f>O19/$A19</f>
        <v>22.679538442223055</v>
      </c>
      <c r="G19">
        <f>P19/$A19</f>
        <v>17.829988193824057</v>
      </c>
      <c r="J19" s="1">
        <v>1.8</v>
      </c>
      <c r="L19">
        <v>161.65997853372599</v>
      </c>
      <c r="M19">
        <v>307.79456972271601</v>
      </c>
      <c r="N19">
        <v>232.66829267132599</v>
      </c>
      <c r="O19">
        <v>40.823169196001501</v>
      </c>
      <c r="P19">
        <v>32.093978748883302</v>
      </c>
    </row>
    <row r="20" spans="1:16" x14ac:dyDescent="0.2">
      <c r="A20">
        <v>1.81</v>
      </c>
      <c r="C20">
        <f>L20/$A20</f>
        <v>101.85467647680497</v>
      </c>
      <c r="D20">
        <f>M20/$A20</f>
        <v>182.43986801110441</v>
      </c>
      <c r="E20">
        <f>N20/$A20</f>
        <v>195.97429847338839</v>
      </c>
      <c r="F20">
        <f>O20/$A20</f>
        <v>25.856502341829831</v>
      </c>
      <c r="G20">
        <f>P20/$A20</f>
        <v>19.237649915243537</v>
      </c>
      <c r="J20">
        <v>1.81</v>
      </c>
      <c r="L20">
        <v>184.35696442301699</v>
      </c>
      <c r="M20">
        <v>330.21616110009899</v>
      </c>
      <c r="N20">
        <v>354.71348023683299</v>
      </c>
      <c r="O20">
        <v>46.800269238711998</v>
      </c>
      <c r="P20">
        <v>34.820146346590803</v>
      </c>
    </row>
    <row r="21" spans="1:16" x14ac:dyDescent="0.2">
      <c r="A21">
        <v>1.82</v>
      </c>
      <c r="C21">
        <f>L21/$A21</f>
        <v>117.4324303763868</v>
      </c>
      <c r="D21">
        <f>M21/$A21</f>
        <v>195.07444916160767</v>
      </c>
      <c r="E21">
        <f>N21/$A21</f>
        <v>364.40593200232695</v>
      </c>
      <c r="F21">
        <f>O21/$A21</f>
        <v>29.913884961196043</v>
      </c>
      <c r="G21">
        <f>P21/$A21</f>
        <v>20.912001357739722</v>
      </c>
      <c r="J21">
        <v>1.82</v>
      </c>
      <c r="L21">
        <v>213.72702328502399</v>
      </c>
      <c r="M21">
        <v>355.03549747412598</v>
      </c>
      <c r="N21">
        <v>663.21879624423502</v>
      </c>
      <c r="O21">
        <v>54.443270629376798</v>
      </c>
      <c r="P21">
        <v>38.059842471086299</v>
      </c>
    </row>
    <row r="22" spans="1:16" x14ac:dyDescent="0.2">
      <c r="A22">
        <v>1.83</v>
      </c>
      <c r="C22">
        <f>L22/$A22</f>
        <v>138.66512972834971</v>
      </c>
      <c r="D22">
        <f>M22/$A22</f>
        <v>210.17121362037267</v>
      </c>
      <c r="E22">
        <f>N22/$A22</f>
        <v>756.90825812019125</v>
      </c>
      <c r="F22">
        <f>O22/$A22</f>
        <v>35.225565947348962</v>
      </c>
      <c r="G22">
        <f>P22/$A22</f>
        <v>22.909845269727867</v>
      </c>
      <c r="J22">
        <v>1.83</v>
      </c>
      <c r="L22">
        <v>253.75718740287999</v>
      </c>
      <c r="M22">
        <v>384.61332092528198</v>
      </c>
      <c r="N22">
        <v>1385.14211235995</v>
      </c>
      <c r="O22">
        <v>64.462785683648605</v>
      </c>
      <c r="P22">
        <v>41.925016843602002</v>
      </c>
    </row>
    <row r="23" spans="1:16" x14ac:dyDescent="0.2">
      <c r="A23">
        <v>1.84</v>
      </c>
      <c r="C23">
        <f>L23/$A23</f>
        <v>169.12155948349346</v>
      </c>
      <c r="D23">
        <f>M23/$A23</f>
        <v>227.43052666901465</v>
      </c>
      <c r="F23">
        <f>O23/$A23</f>
        <v>42.44413415916511</v>
      </c>
      <c r="G23">
        <f>P23/$A23</f>
        <v>25.230820666198859</v>
      </c>
      <c r="J23">
        <v>1.84</v>
      </c>
      <c r="L23">
        <v>311.18366944962798</v>
      </c>
      <c r="M23">
        <v>418.47216907098698</v>
      </c>
      <c r="O23">
        <v>78.097206852863806</v>
      </c>
      <c r="P23">
        <v>46.424710025805901</v>
      </c>
    </row>
    <row r="24" spans="1:16" x14ac:dyDescent="0.2">
      <c r="A24">
        <v>1.85</v>
      </c>
      <c r="C24">
        <f>L24/$A24</f>
        <v>218.09704055529892</v>
      </c>
      <c r="D24">
        <f>M24/$A24</f>
        <v>247.62153964341459</v>
      </c>
      <c r="F24">
        <f>O24/$A24</f>
        <v>53.049556199952264</v>
      </c>
      <c r="G24">
        <f>P24/$A24</f>
        <v>27.910280999885835</v>
      </c>
      <c r="J24">
        <v>1.85</v>
      </c>
      <c r="L24">
        <v>403.479525027303</v>
      </c>
      <c r="M24">
        <v>458.09984834031701</v>
      </c>
      <c r="O24">
        <v>98.141678969911695</v>
      </c>
      <c r="P24">
        <v>51.6340198497888</v>
      </c>
    </row>
    <row r="25" spans="1:16" x14ac:dyDescent="0.2">
      <c r="A25">
        <v>1.86</v>
      </c>
      <c r="C25">
        <f>L25/$A25</f>
        <v>309.27422057955965</v>
      </c>
      <c r="D25">
        <f>M25/$A25</f>
        <v>271.22510043824997</v>
      </c>
      <c r="F25">
        <f>O25/$A25</f>
        <v>73.726075450642469</v>
      </c>
      <c r="G25">
        <f>P25/$A25</f>
        <v>31.097126778256129</v>
      </c>
      <c r="J25">
        <v>1.86</v>
      </c>
      <c r="L25">
        <v>575.25005027798102</v>
      </c>
      <c r="M25">
        <v>504.47868681514501</v>
      </c>
      <c r="O25">
        <v>137.13050033819499</v>
      </c>
      <c r="P25">
        <v>57.840655807556402</v>
      </c>
    </row>
    <row r="26" spans="1:16" x14ac:dyDescent="0.2">
      <c r="A26">
        <v>1.87</v>
      </c>
      <c r="C26">
        <f>L26/$A26</f>
        <v>503.99382151635933</v>
      </c>
      <c r="D26">
        <f>M26/$A26</f>
        <v>299.0359177761444</v>
      </c>
      <c r="F26">
        <f>O26/$A26</f>
        <v>121.62301044379625</v>
      </c>
      <c r="G26">
        <f>P26/$A26</f>
        <v>34.984886221750536</v>
      </c>
      <c r="J26">
        <v>1.87</v>
      </c>
      <c r="L26">
        <v>942.46844623559195</v>
      </c>
      <c r="M26">
        <v>559.19716624139005</v>
      </c>
      <c r="O26">
        <v>227.435029529899</v>
      </c>
      <c r="P26">
        <v>65.4217372346735</v>
      </c>
    </row>
    <row r="27" spans="1:16" x14ac:dyDescent="0.2">
      <c r="A27">
        <v>1.88</v>
      </c>
      <c r="C27">
        <f>L27/$A27</f>
        <v>920.76581325442555</v>
      </c>
      <c r="D27">
        <f>M27/$A27</f>
        <v>331.9198552631633</v>
      </c>
      <c r="F27">
        <f>O27/$A27</f>
        <v>328.17057935669999</v>
      </c>
      <c r="G27">
        <f>P27/$A27</f>
        <v>39.747183225169998</v>
      </c>
      <c r="J27">
        <v>1.88</v>
      </c>
      <c r="L27">
        <v>1731.03972891832</v>
      </c>
      <c r="M27">
        <v>624.009327894747</v>
      </c>
      <c r="O27">
        <v>616.96068919059599</v>
      </c>
      <c r="P27">
        <v>74.724704463319597</v>
      </c>
    </row>
    <row r="28" spans="1:16" x14ac:dyDescent="0.2">
      <c r="A28">
        <v>1.89</v>
      </c>
      <c r="D28">
        <f>M28/$A28</f>
        <v>372.01304751827092</v>
      </c>
      <c r="F28">
        <f>O28/$A28</f>
        <v>852.551620813672</v>
      </c>
      <c r="G28">
        <f>P28/$A28</f>
        <v>45.620211202052381</v>
      </c>
      <c r="J28">
        <v>1.89</v>
      </c>
      <c r="M28">
        <v>703.104659809532</v>
      </c>
      <c r="O28">
        <v>1611.3225633378399</v>
      </c>
      <c r="P28">
        <v>86.222199171878998</v>
      </c>
    </row>
    <row r="29" spans="1:16" x14ac:dyDescent="0.2">
      <c r="A29" s="1">
        <v>1.9</v>
      </c>
      <c r="D29">
        <f>M29/$A29</f>
        <v>422.08441121237843</v>
      </c>
      <c r="G29">
        <f>P29/$A29</f>
        <v>53.17550152650211</v>
      </c>
      <c r="J29" s="1">
        <v>1.9</v>
      </c>
      <c r="M29">
        <v>801.96038130351894</v>
      </c>
      <c r="P29">
        <v>101.03345290035401</v>
      </c>
    </row>
    <row r="30" spans="1:16" x14ac:dyDescent="0.2">
      <c r="A30">
        <v>1.91</v>
      </c>
      <c r="D30">
        <f>M30/$A30</f>
        <v>489.84478039460214</v>
      </c>
      <c r="G30">
        <f>P30/$A30</f>
        <v>63.737779297073303</v>
      </c>
      <c r="J30">
        <v>1.91</v>
      </c>
      <c r="M30">
        <v>935.60353055369001</v>
      </c>
      <c r="P30">
        <v>121.73915845741</v>
      </c>
    </row>
    <row r="31" spans="1:16" x14ac:dyDescent="0.2">
      <c r="A31">
        <v>1.92</v>
      </c>
      <c r="D31">
        <f>M31/$A31</f>
        <v>586.14079555446358</v>
      </c>
      <c r="G31">
        <f>P31/$A31</f>
        <v>78.981313761594791</v>
      </c>
      <c r="J31">
        <v>1.92</v>
      </c>
      <c r="M31">
        <v>1125.39032746457</v>
      </c>
      <c r="P31">
        <v>151.644122422262</v>
      </c>
    </row>
    <row r="32" spans="1:16" x14ac:dyDescent="0.2">
      <c r="A32">
        <v>1.93</v>
      </c>
      <c r="D32">
        <f>M32/$A32</f>
        <v>721.86401581208816</v>
      </c>
      <c r="G32">
        <f>P32/$A32</f>
        <v>102.91472273566063</v>
      </c>
      <c r="J32">
        <v>1.93</v>
      </c>
      <c r="M32">
        <v>1393.19755051733</v>
      </c>
      <c r="P32">
        <v>198.625414879825</v>
      </c>
    </row>
    <row r="33" spans="1:16" x14ac:dyDescent="0.2">
      <c r="A33">
        <v>1.94</v>
      </c>
      <c r="D33">
        <f>M33/$A33</f>
        <v>921.01369738585049</v>
      </c>
      <c r="G33">
        <f>P33/$A33</f>
        <v>141.71206949606133</v>
      </c>
      <c r="J33">
        <v>1.94</v>
      </c>
      <c r="M33">
        <v>1786.76657292855</v>
      </c>
      <c r="P33">
        <v>274.921414822359</v>
      </c>
    </row>
    <row r="34" spans="1:16" x14ac:dyDescent="0.2">
      <c r="A34">
        <v>1.95</v>
      </c>
      <c r="G34">
        <f>P34/$A34</f>
        <v>216.43673545016051</v>
      </c>
      <c r="J34">
        <v>1.95</v>
      </c>
      <c r="P34">
        <v>422.05163412781297</v>
      </c>
    </row>
    <row r="35" spans="1:16" x14ac:dyDescent="0.2">
      <c r="A35">
        <v>1.96</v>
      </c>
      <c r="G35">
        <f>P35/$A35</f>
        <v>413.38669049816531</v>
      </c>
      <c r="J35">
        <v>1.96</v>
      </c>
      <c r="P35">
        <v>810.23791337640398</v>
      </c>
    </row>
    <row r="36" spans="1:16" x14ac:dyDescent="0.2">
      <c r="A36">
        <v>1.97</v>
      </c>
      <c r="G36">
        <f>P36/$A36</f>
        <v>863.44791262605588</v>
      </c>
      <c r="J36">
        <v>1.97</v>
      </c>
      <c r="P36">
        <v>1700.99238787333</v>
      </c>
    </row>
    <row r="37" spans="1:16" x14ac:dyDescent="0.2">
      <c r="A37">
        <v>1.98</v>
      </c>
      <c r="J37">
        <v>1.98</v>
      </c>
    </row>
    <row r="38" spans="1:16" x14ac:dyDescent="0.2">
      <c r="A38">
        <v>1.99</v>
      </c>
      <c r="J38">
        <v>1.99</v>
      </c>
    </row>
    <row r="39" spans="1:16" x14ac:dyDescent="0.2">
      <c r="K39" s="1"/>
      <c r="L39" s="1"/>
    </row>
    <row r="40" spans="1:16" x14ac:dyDescent="0.2">
      <c r="K40" s="1"/>
      <c r="L40" s="1"/>
    </row>
    <row r="41" spans="1:16" x14ac:dyDescent="0.2">
      <c r="K41" s="1"/>
      <c r="L41" s="1"/>
    </row>
    <row r="42" spans="1:16" x14ac:dyDescent="0.2">
      <c r="K42" s="1"/>
      <c r="L42" s="1"/>
    </row>
    <row r="43" spans="1:16" x14ac:dyDescent="0.2">
      <c r="K43" s="1"/>
      <c r="L43" s="1"/>
    </row>
    <row r="44" spans="1:16" x14ac:dyDescent="0.2">
      <c r="K44" s="1"/>
      <c r="L44" s="1"/>
    </row>
    <row r="45" spans="1:16" x14ac:dyDescent="0.2">
      <c r="K45" s="1"/>
      <c r="L45" s="1"/>
    </row>
    <row r="46" spans="1:16" x14ac:dyDescent="0.2">
      <c r="K46" s="1"/>
      <c r="L46" s="1"/>
    </row>
    <row r="47" spans="1:16" x14ac:dyDescent="0.2">
      <c r="K47" s="1"/>
      <c r="L47" s="1"/>
    </row>
    <row r="48" spans="1:16" x14ac:dyDescent="0.2">
      <c r="K48" s="1"/>
      <c r="L48" s="1"/>
    </row>
    <row r="49" spans="11:12" x14ac:dyDescent="0.2">
      <c r="K49" s="1"/>
      <c r="L49" s="1"/>
    </row>
    <row r="50" spans="11:12" x14ac:dyDescent="0.2">
      <c r="K50" s="1"/>
      <c r="L50" s="1"/>
    </row>
    <row r="51" spans="11:12" x14ac:dyDescent="0.2">
      <c r="K51" s="1"/>
      <c r="L51" s="1"/>
    </row>
    <row r="52" spans="11:12" x14ac:dyDescent="0.2">
      <c r="K52" s="1"/>
      <c r="L52" s="1"/>
    </row>
    <row r="53" spans="11:12" x14ac:dyDescent="0.2">
      <c r="K53" s="1"/>
      <c r="L53" s="1"/>
    </row>
    <row r="54" spans="11:12" x14ac:dyDescent="0.2">
      <c r="K54" s="1"/>
      <c r="L54" s="1"/>
    </row>
    <row r="55" spans="11:12" x14ac:dyDescent="0.2">
      <c r="K55" s="1"/>
      <c r="L55" s="1"/>
    </row>
    <row r="56" spans="11:12" x14ac:dyDescent="0.2">
      <c r="K56" s="1"/>
      <c r="L56" s="1"/>
    </row>
    <row r="57" spans="11:12" x14ac:dyDescent="0.2">
      <c r="K57" s="1"/>
      <c r="L57" s="1"/>
    </row>
    <row r="58" spans="11:12" x14ac:dyDescent="0.2">
      <c r="K58" s="1"/>
      <c r="L58" s="1"/>
    </row>
    <row r="59" spans="11:12" x14ac:dyDescent="0.2">
      <c r="K59" s="1"/>
      <c r="L59" s="1"/>
    </row>
    <row r="60" spans="11:12" x14ac:dyDescent="0.2">
      <c r="K60" s="1"/>
      <c r="L60" s="1"/>
    </row>
    <row r="61" spans="11:12" x14ac:dyDescent="0.2">
      <c r="K61" s="1"/>
      <c r="L61" s="1"/>
    </row>
    <row r="62" spans="11:12" x14ac:dyDescent="0.2">
      <c r="K62" s="1"/>
      <c r="L62" s="1"/>
    </row>
    <row r="63" spans="11:12" x14ac:dyDescent="0.2">
      <c r="K63" s="1"/>
      <c r="L63" s="1"/>
    </row>
    <row r="64" spans="11:12" x14ac:dyDescent="0.2">
      <c r="K64" s="1"/>
      <c r="L64" s="1"/>
    </row>
    <row r="65" spans="11:12" x14ac:dyDescent="0.2">
      <c r="K65" s="1"/>
      <c r="L65" s="1"/>
    </row>
    <row r="66" spans="11:12" x14ac:dyDescent="0.2">
      <c r="K66" s="1"/>
      <c r="L6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3F3F-7AF3-2F4F-BA0D-759B194C3061}">
  <dimension ref="A1:P46"/>
  <sheetViews>
    <sheetView zoomScale="56" workbookViewId="0">
      <selection activeCell="D45" sqref="D45"/>
    </sheetView>
  </sheetViews>
  <sheetFormatPr baseColWidth="10" defaultRowHeight="16" x14ac:dyDescent="0.2"/>
  <sheetData>
    <row r="1" spans="1:16" x14ac:dyDescent="0.2">
      <c r="A1" t="s">
        <v>18</v>
      </c>
      <c r="B1" t="s">
        <v>1</v>
      </c>
      <c r="C1" t="s">
        <v>2</v>
      </c>
      <c r="D1" t="s">
        <v>3</v>
      </c>
      <c r="E1" t="s">
        <v>21</v>
      </c>
      <c r="F1" t="s">
        <v>12</v>
      </c>
      <c r="G1" t="s">
        <v>8</v>
      </c>
      <c r="J1" t="s">
        <v>18</v>
      </c>
      <c r="K1" t="s">
        <v>1</v>
      </c>
      <c r="L1" t="s">
        <v>2</v>
      </c>
      <c r="M1" t="s">
        <v>3</v>
      </c>
      <c r="N1" t="s">
        <v>21</v>
      </c>
      <c r="O1" t="s">
        <v>8</v>
      </c>
      <c r="P1" t="s">
        <v>12</v>
      </c>
    </row>
    <row r="2" spans="1:16" x14ac:dyDescent="0.2">
      <c r="A2" s="1">
        <v>1</v>
      </c>
      <c r="B2">
        <f>K2/$A2</f>
        <v>3.2070432414422898</v>
      </c>
      <c r="C2">
        <f>L2/$A2</f>
        <v>2.1572811063935999</v>
      </c>
      <c r="D2">
        <f>M2/$A2</f>
        <v>3.10314503786614</v>
      </c>
      <c r="E2">
        <f>N2/$A2</f>
        <v>2.7105091590194599</v>
      </c>
      <c r="F2">
        <f>P2/$A2</f>
        <v>2.1340903499639698</v>
      </c>
      <c r="G2">
        <f>O2/$A2</f>
        <v>8.8500200703499701</v>
      </c>
      <c r="J2" s="1">
        <v>1</v>
      </c>
      <c r="K2">
        <v>3.2070432414422898</v>
      </c>
      <c r="L2">
        <v>2.1572811063935999</v>
      </c>
      <c r="M2">
        <v>3.10314503786614</v>
      </c>
      <c r="N2">
        <v>2.7105091590194599</v>
      </c>
      <c r="O2">
        <v>8.8500200703499701</v>
      </c>
      <c r="P2">
        <v>2.1340903499639698</v>
      </c>
    </row>
    <row r="3" spans="1:16" x14ac:dyDescent="0.2">
      <c r="A3" s="1">
        <v>1.1000000000000001</v>
      </c>
      <c r="B3">
        <f>K3/$A3</f>
        <v>4.3298303143729724</v>
      </c>
      <c r="C3">
        <f>L3/$A3</f>
        <v>2.4591926719502815</v>
      </c>
      <c r="D3">
        <f>M3/$A3</f>
        <v>4.0647629418734992</v>
      </c>
      <c r="E3">
        <f>N3/$A3</f>
        <v>3.5549810110400539</v>
      </c>
      <c r="F3">
        <f>P3/$A3</f>
        <v>2.4236885227277813</v>
      </c>
      <c r="G3">
        <f>O3/$A3</f>
        <v>13.793647352353181</v>
      </c>
      <c r="J3" s="1">
        <v>1.1000000000000001</v>
      </c>
      <c r="K3">
        <v>4.7628133458102697</v>
      </c>
      <c r="L3">
        <v>2.70511193914531</v>
      </c>
      <c r="M3">
        <v>4.4712392360608497</v>
      </c>
      <c r="N3">
        <v>3.9104791121440599</v>
      </c>
      <c r="O3">
        <v>15.1730120875885</v>
      </c>
      <c r="P3">
        <v>2.6660573750005598</v>
      </c>
    </row>
    <row r="4" spans="1:16" x14ac:dyDescent="0.2">
      <c r="A4" s="1">
        <v>1.2</v>
      </c>
      <c r="B4">
        <f>K4/$A4</f>
        <v>6.6159112693790751</v>
      </c>
      <c r="C4">
        <f>L4/$A4</f>
        <v>2.8542361263799001</v>
      </c>
      <c r="D4">
        <f>M4/$A4</f>
        <v>5.7625149345006417</v>
      </c>
      <c r="E4">
        <f>N4/$A4</f>
        <v>5.3837847353309245</v>
      </c>
      <c r="F4">
        <f>P4/$A4</f>
        <v>2.7999210330077418</v>
      </c>
      <c r="G4">
        <f>O4/$A4</f>
        <v>20.246300590410168</v>
      </c>
      <c r="J4" s="1">
        <v>1.2</v>
      </c>
      <c r="K4">
        <v>7.9390935232548898</v>
      </c>
      <c r="L4">
        <v>3.4250833516558798</v>
      </c>
      <c r="M4">
        <v>6.9150179214007697</v>
      </c>
      <c r="N4">
        <v>6.4605416823971096</v>
      </c>
      <c r="O4">
        <v>24.2955607084922</v>
      </c>
      <c r="P4">
        <v>3.3599052396092901</v>
      </c>
    </row>
    <row r="5" spans="1:16" x14ac:dyDescent="0.2">
      <c r="A5" s="1">
        <v>1.3</v>
      </c>
      <c r="B5">
        <f>K5/$A5</f>
        <v>13.937540770504922</v>
      </c>
      <c r="C5">
        <f>L5/$A5</f>
        <v>3.4034031857027842</v>
      </c>
      <c r="D5">
        <f>M5/$A5</f>
        <v>9.1850035044243068</v>
      </c>
      <c r="E5">
        <f>N5/$A5</f>
        <v>13.253412755043078</v>
      </c>
      <c r="F5">
        <f>P5/$A5</f>
        <v>3.3091575062363687</v>
      </c>
      <c r="G5">
        <f>O5/$A5</f>
        <v>27.600798418279847</v>
      </c>
      <c r="J5" s="1">
        <v>1.3</v>
      </c>
      <c r="K5">
        <v>18.118803001656399</v>
      </c>
      <c r="L5">
        <v>4.4244241414136196</v>
      </c>
      <c r="M5">
        <v>11.9405045557516</v>
      </c>
      <c r="N5">
        <v>17.229436581556001</v>
      </c>
      <c r="O5">
        <v>35.881037943763801</v>
      </c>
      <c r="P5">
        <v>4.3019047581072796</v>
      </c>
    </row>
    <row r="6" spans="1:16" x14ac:dyDescent="0.2">
      <c r="A6" s="1">
        <v>1.31</v>
      </c>
      <c r="J6" s="1">
        <v>1.31</v>
      </c>
      <c r="K6">
        <v>20.495527148873698</v>
      </c>
      <c r="N6">
        <v>20.650542313279502</v>
      </c>
    </row>
    <row r="7" spans="1:16" x14ac:dyDescent="0.2">
      <c r="A7" s="1">
        <v>1.32</v>
      </c>
      <c r="J7" s="1">
        <v>1.32</v>
      </c>
      <c r="K7">
        <v>23.671157101774</v>
      </c>
      <c r="N7">
        <v>25.641837886737498</v>
      </c>
    </row>
    <row r="8" spans="1:16" x14ac:dyDescent="0.2">
      <c r="A8" s="1">
        <v>1.33</v>
      </c>
      <c r="B8">
        <f>K8/$A8</f>
        <v>21.203385047822405</v>
      </c>
      <c r="E8">
        <f>N8/$A8</f>
        <v>25.38219674848947</v>
      </c>
      <c r="J8" s="1">
        <v>1.33</v>
      </c>
      <c r="K8">
        <v>28.2005021136038</v>
      </c>
      <c r="N8">
        <v>33.758321675490997</v>
      </c>
    </row>
    <row r="9" spans="1:16" x14ac:dyDescent="0.2">
      <c r="A9" s="1">
        <v>1.34</v>
      </c>
      <c r="J9" s="1">
        <v>1.34</v>
      </c>
      <c r="K9">
        <v>34.467986476074202</v>
      </c>
      <c r="N9">
        <v>48.734162537514798</v>
      </c>
    </row>
    <row r="10" spans="1:16" x14ac:dyDescent="0.2">
      <c r="A10" s="1">
        <v>1.35</v>
      </c>
      <c r="E10">
        <f>N10/$A10</f>
        <v>68.635077510771396</v>
      </c>
      <c r="J10" s="1">
        <v>1.35</v>
      </c>
      <c r="K10">
        <v>43.248252026107501</v>
      </c>
      <c r="N10">
        <v>92.657354639541396</v>
      </c>
    </row>
    <row r="11" spans="1:16" x14ac:dyDescent="0.2">
      <c r="A11" s="1">
        <v>1.36</v>
      </c>
      <c r="B11">
        <f>K11/$A11</f>
        <v>41.915238181743817</v>
      </c>
      <c r="E11">
        <f>N11/$A11</f>
        <v>517.2652934356845</v>
      </c>
      <c r="J11" s="1">
        <v>1.36</v>
      </c>
      <c r="K11">
        <v>57.004723927171597</v>
      </c>
      <c r="N11">
        <v>703.480799072531</v>
      </c>
    </row>
    <row r="12" spans="1:16" x14ac:dyDescent="0.2">
      <c r="A12" s="1">
        <v>1.37</v>
      </c>
      <c r="J12" s="1">
        <v>1.37</v>
      </c>
      <c r="K12">
        <v>81.875329048040797</v>
      </c>
    </row>
    <row r="13" spans="1:16" x14ac:dyDescent="0.2">
      <c r="A13" s="1">
        <v>1.38</v>
      </c>
      <c r="B13">
        <f>K13/$A13</f>
        <v>107.22484635090363</v>
      </c>
      <c r="J13" s="1">
        <v>1.38</v>
      </c>
      <c r="K13">
        <v>147.97028796424701</v>
      </c>
    </row>
    <row r="14" spans="1:16" x14ac:dyDescent="0.2">
      <c r="A14" s="1">
        <v>1.39</v>
      </c>
      <c r="B14">
        <f>K14/$A14</f>
        <v>480.54020985497914</v>
      </c>
      <c r="J14" s="1">
        <v>1.39</v>
      </c>
      <c r="K14">
        <v>667.95089169842095</v>
      </c>
    </row>
    <row r="15" spans="1:16" x14ac:dyDescent="0.2">
      <c r="A15" s="1">
        <v>1.4</v>
      </c>
      <c r="C15">
        <f>L15/$A15</f>
        <v>4.2051745270945862</v>
      </c>
      <c r="D15">
        <f>M15/$A15</f>
        <v>17.949855194920858</v>
      </c>
      <c r="F15">
        <f>P15/$A15</f>
        <v>4.0240814162329714</v>
      </c>
      <c r="G15">
        <f>O15/$A15</f>
        <v>36.825913076609361</v>
      </c>
      <c r="J15" s="1">
        <v>1.4</v>
      </c>
      <c r="L15">
        <v>5.8872443379324197</v>
      </c>
      <c r="M15">
        <v>25.129797272889199</v>
      </c>
      <c r="O15">
        <v>51.556278307253102</v>
      </c>
      <c r="P15">
        <v>5.6337139827261602</v>
      </c>
    </row>
    <row r="16" spans="1:16" x14ac:dyDescent="0.2">
      <c r="A16" s="1">
        <v>1.5</v>
      </c>
      <c r="C16">
        <f>L16/$A16</f>
        <v>5.4496076453373936</v>
      </c>
      <c r="D16">
        <f>M16/$A16</f>
        <v>65.269852401885601</v>
      </c>
      <c r="F16">
        <f>P16/$A16</f>
        <v>5.0785318229442202</v>
      </c>
      <c r="G16">
        <f>O16/$A16</f>
        <v>49.551784655564802</v>
      </c>
      <c r="J16" s="1">
        <v>1.5</v>
      </c>
      <c r="L16">
        <v>8.17441146800609</v>
      </c>
      <c r="M16">
        <v>97.904778602828401</v>
      </c>
      <c r="O16">
        <v>74.327676983347203</v>
      </c>
      <c r="P16">
        <v>7.6177977344163299</v>
      </c>
    </row>
    <row r="17" spans="1:16" x14ac:dyDescent="0.2">
      <c r="A17">
        <v>1.51</v>
      </c>
      <c r="D17">
        <f>M17/$A17</f>
        <v>80.719677266840392</v>
      </c>
      <c r="J17">
        <v>1.51</v>
      </c>
      <c r="M17">
        <v>121.88671267292899</v>
      </c>
    </row>
    <row r="18" spans="1:16" x14ac:dyDescent="0.2">
      <c r="A18">
        <v>1.52</v>
      </c>
      <c r="D18">
        <f>M18/$A18</f>
        <v>101.46236544875526</v>
      </c>
      <c r="J18">
        <v>1.52</v>
      </c>
      <c r="M18">
        <v>154.22279548210801</v>
      </c>
    </row>
    <row r="19" spans="1:16" x14ac:dyDescent="0.2">
      <c r="A19">
        <v>1.53</v>
      </c>
      <c r="D19">
        <f>M19/$A19</f>
        <v>131.21279099513529</v>
      </c>
      <c r="J19">
        <v>1.53</v>
      </c>
      <c r="M19">
        <v>200.755570222557</v>
      </c>
    </row>
    <row r="20" spans="1:16" x14ac:dyDescent="0.2">
      <c r="A20">
        <v>1.54</v>
      </c>
      <c r="D20">
        <f>M20/$A20</f>
        <v>182.00240906877985</v>
      </c>
      <c r="J20">
        <v>1.54</v>
      </c>
      <c r="M20">
        <v>280.28370996592099</v>
      </c>
    </row>
    <row r="21" spans="1:16" x14ac:dyDescent="0.2">
      <c r="A21">
        <v>1.55</v>
      </c>
      <c r="D21">
        <f>M21/$A21</f>
        <v>263.51565015552774</v>
      </c>
      <c r="J21">
        <v>1.55</v>
      </c>
      <c r="M21">
        <v>408.44925774106798</v>
      </c>
    </row>
    <row r="22" spans="1:16" x14ac:dyDescent="0.2">
      <c r="A22">
        <v>1.56</v>
      </c>
      <c r="D22">
        <f>M22/$A22</f>
        <v>414.34542497418141</v>
      </c>
      <c r="J22">
        <v>1.56</v>
      </c>
      <c r="M22">
        <v>646.37886295972305</v>
      </c>
    </row>
    <row r="23" spans="1:16" x14ac:dyDescent="0.2">
      <c r="A23">
        <v>1.57</v>
      </c>
      <c r="D23">
        <f>M23/$A23</f>
        <v>970.81276715200624</v>
      </c>
      <c r="J23">
        <v>1.57</v>
      </c>
      <c r="M23">
        <v>1524.1760444286499</v>
      </c>
    </row>
    <row r="25" spans="1:16" x14ac:dyDescent="0.2">
      <c r="A25" s="1">
        <v>1.6</v>
      </c>
      <c r="C25">
        <f>L25/$A25</f>
        <v>7.6218632401030622</v>
      </c>
      <c r="F25">
        <f>P25/$A25</f>
        <v>6.7790780891256874</v>
      </c>
      <c r="G25">
        <f>O25/$A25</f>
        <v>68.751666745604993</v>
      </c>
      <c r="J25" s="1">
        <v>1.6</v>
      </c>
      <c r="L25">
        <v>12.194981184164901</v>
      </c>
      <c r="O25">
        <v>110.002666792968</v>
      </c>
      <c r="P25">
        <v>10.8465249426011</v>
      </c>
    </row>
    <row r="26" spans="1:16" x14ac:dyDescent="0.2">
      <c r="A26" s="1">
        <v>1.7</v>
      </c>
      <c r="C26">
        <f>L26/$A26</f>
        <v>12.18893475359747</v>
      </c>
      <c r="F26">
        <f>P26/$A26</f>
        <v>9.9727903568130003</v>
      </c>
      <c r="G26">
        <f>O26/$A26</f>
        <v>101.60659493141942</v>
      </c>
      <c r="J26" s="1">
        <v>1.7</v>
      </c>
      <c r="L26">
        <v>20.7211890811157</v>
      </c>
      <c r="O26">
        <v>172.73121138341301</v>
      </c>
      <c r="P26">
        <v>16.953743606582101</v>
      </c>
    </row>
    <row r="27" spans="1:16" x14ac:dyDescent="0.2">
      <c r="A27" s="1">
        <v>1.8</v>
      </c>
      <c r="C27">
        <f>L27/$A27</f>
        <v>25.673851422039164</v>
      </c>
      <c r="F27">
        <f>P27/$A27</f>
        <v>17.829988193824057</v>
      </c>
      <c r="G27">
        <f>O27/$A27</f>
        <v>170.99698317928667</v>
      </c>
      <c r="J27" s="1">
        <v>1.8</v>
      </c>
      <c r="L27">
        <v>46.212932559670499</v>
      </c>
      <c r="O27">
        <v>307.79456972271601</v>
      </c>
      <c r="P27">
        <v>32.093978748883302</v>
      </c>
    </row>
    <row r="28" spans="1:16" x14ac:dyDescent="0.2">
      <c r="A28">
        <v>1.81</v>
      </c>
      <c r="C28">
        <f>L28/$A28</f>
        <v>28.409433377283921</v>
      </c>
      <c r="F28">
        <f>P28/$A28</f>
        <v>19.237649915243537</v>
      </c>
      <c r="G28">
        <f>O28/$A28</f>
        <v>182.43986801110441</v>
      </c>
      <c r="J28">
        <v>1.81</v>
      </c>
      <c r="L28">
        <v>51.421074412883897</v>
      </c>
      <c r="O28">
        <v>330.21616110009899</v>
      </c>
      <c r="P28">
        <v>34.820146346590803</v>
      </c>
    </row>
    <row r="29" spans="1:16" x14ac:dyDescent="0.2">
      <c r="A29">
        <v>1.82</v>
      </c>
      <c r="C29">
        <f>L29/$A29</f>
        <v>31.618923669778134</v>
      </c>
      <c r="F29">
        <f>P29/$A29</f>
        <v>20.912001357739722</v>
      </c>
      <c r="G29">
        <f>O29/$A29</f>
        <v>195.07444916160767</v>
      </c>
      <c r="J29">
        <v>1.82</v>
      </c>
      <c r="L29">
        <v>57.546441078996203</v>
      </c>
      <c r="O29">
        <v>355.03549747412598</v>
      </c>
      <c r="P29">
        <v>38.059842471086299</v>
      </c>
    </row>
    <row r="30" spans="1:16" x14ac:dyDescent="0.2">
      <c r="A30">
        <v>1.83</v>
      </c>
      <c r="C30">
        <f>L30/$A30</f>
        <v>35.445410209132454</v>
      </c>
      <c r="F30">
        <f>P30/$A30</f>
        <v>22.909845269727867</v>
      </c>
      <c r="G30">
        <f>O30/$A30</f>
        <v>210.17121362037267</v>
      </c>
      <c r="J30">
        <v>1.83</v>
      </c>
      <c r="L30">
        <v>64.865100682712395</v>
      </c>
      <c r="O30">
        <v>384.61332092528198</v>
      </c>
      <c r="P30">
        <v>41.925016843602002</v>
      </c>
    </row>
    <row r="31" spans="1:16" x14ac:dyDescent="0.2">
      <c r="A31">
        <v>1.84</v>
      </c>
      <c r="C31">
        <f>L31/$A31</f>
        <v>39.996541193815979</v>
      </c>
      <c r="F31">
        <f>P31/$A31</f>
        <v>25.230820666198859</v>
      </c>
      <c r="G31">
        <f>O31/$A31</f>
        <v>227.43052666901465</v>
      </c>
      <c r="J31">
        <v>1.84</v>
      </c>
      <c r="L31">
        <v>73.593635796621399</v>
      </c>
      <c r="O31">
        <v>418.47216907098698</v>
      </c>
      <c r="P31">
        <v>46.424710025805901</v>
      </c>
    </row>
    <row r="32" spans="1:16" x14ac:dyDescent="0.2">
      <c r="A32">
        <v>1.85</v>
      </c>
      <c r="C32">
        <f>L32/$A32</f>
        <v>45.506981762223724</v>
      </c>
      <c r="F32">
        <f>P32/$A32</f>
        <v>27.910280999885835</v>
      </c>
      <c r="G32">
        <f>O32/$A32</f>
        <v>247.62153964341459</v>
      </c>
      <c r="J32">
        <v>1.85</v>
      </c>
      <c r="L32">
        <v>84.187916260113894</v>
      </c>
      <c r="O32">
        <v>458.09984834031701</v>
      </c>
      <c r="P32">
        <v>51.6340198497888</v>
      </c>
    </row>
    <row r="33" spans="1:16" x14ac:dyDescent="0.2">
      <c r="A33">
        <v>1.86</v>
      </c>
      <c r="C33">
        <f>L33/$A33</f>
        <v>52.223191933858864</v>
      </c>
      <c r="F33">
        <f>P33/$A33</f>
        <v>31.097126778256129</v>
      </c>
      <c r="G33">
        <f>O33/$A33</f>
        <v>271.22510043824997</v>
      </c>
      <c r="J33">
        <v>1.86</v>
      </c>
      <c r="L33">
        <v>97.135136996977494</v>
      </c>
      <c r="O33">
        <v>504.47868681514501</v>
      </c>
      <c r="P33">
        <v>57.840655807556402</v>
      </c>
    </row>
    <row r="34" spans="1:16" x14ac:dyDescent="0.2">
      <c r="A34">
        <v>1.87</v>
      </c>
      <c r="C34">
        <f>L34/$A34</f>
        <v>60.690900960526733</v>
      </c>
      <c r="F34">
        <f>P34/$A34</f>
        <v>34.984886221750536</v>
      </c>
      <c r="G34">
        <f>O34/$A34</f>
        <v>299.0359177761444</v>
      </c>
      <c r="J34">
        <v>1.87</v>
      </c>
      <c r="L34">
        <v>113.49198479618499</v>
      </c>
      <c r="O34">
        <v>559.19716624139005</v>
      </c>
      <c r="P34">
        <v>65.4217372346735</v>
      </c>
    </row>
    <row r="35" spans="1:16" x14ac:dyDescent="0.2">
      <c r="A35">
        <v>1.88</v>
      </c>
      <c r="C35">
        <f>L35/$A35</f>
        <v>71.532612424838291</v>
      </c>
      <c r="F35">
        <f>P35/$A35</f>
        <v>39.747183225169998</v>
      </c>
      <c r="G35">
        <f>O35/$A35</f>
        <v>331.9198552631633</v>
      </c>
      <c r="J35">
        <v>1.88</v>
      </c>
      <c r="L35">
        <v>134.48131135869599</v>
      </c>
      <c r="O35">
        <v>624.009327894747</v>
      </c>
      <c r="P35">
        <v>74.724704463319597</v>
      </c>
    </row>
    <row r="36" spans="1:16" x14ac:dyDescent="0.2">
      <c r="A36">
        <v>1.89</v>
      </c>
      <c r="C36">
        <f>L36/$A36</f>
        <v>86.151594596219056</v>
      </c>
      <c r="F36">
        <f>P36/$A36</f>
        <v>45.620211202052381</v>
      </c>
      <c r="G36">
        <f>O36/$A36</f>
        <v>372.01304751827092</v>
      </c>
      <c r="J36">
        <v>1.89</v>
      </c>
      <c r="L36">
        <v>162.82651378685401</v>
      </c>
      <c r="O36">
        <v>703.104659809532</v>
      </c>
      <c r="P36">
        <v>86.222199171878998</v>
      </c>
    </row>
    <row r="37" spans="1:16" x14ac:dyDescent="0.2">
      <c r="A37" s="1">
        <v>1.9</v>
      </c>
      <c r="C37">
        <f>L37/$A37</f>
        <v>105.86973934265053</v>
      </c>
      <c r="F37">
        <f>P37/$A37</f>
        <v>53.17550152650211</v>
      </c>
      <c r="G37">
        <f>O37/$A37</f>
        <v>422.08441121237843</v>
      </c>
      <c r="J37" s="1">
        <v>1.9</v>
      </c>
      <c r="L37">
        <v>201.15250475103599</v>
      </c>
      <c r="O37">
        <v>801.96038130351894</v>
      </c>
      <c r="P37">
        <v>101.03345290035401</v>
      </c>
    </row>
    <row r="38" spans="1:16" x14ac:dyDescent="0.2">
      <c r="A38">
        <v>1.91</v>
      </c>
      <c r="C38">
        <f>L38/$A38</f>
        <v>132.28203027748012</v>
      </c>
      <c r="F38">
        <f>P38/$A38</f>
        <v>63.737779297073303</v>
      </c>
      <c r="G38">
        <f>O38/$A38</f>
        <v>489.84478039460214</v>
      </c>
      <c r="J38">
        <v>1.91</v>
      </c>
      <c r="L38">
        <v>252.658677829987</v>
      </c>
      <c r="O38">
        <v>935.60353055369001</v>
      </c>
      <c r="P38">
        <v>121.73915845741</v>
      </c>
    </row>
    <row r="39" spans="1:16" x14ac:dyDescent="0.2">
      <c r="A39">
        <v>1.92</v>
      </c>
      <c r="C39">
        <f>L39/$A39</f>
        <v>171.01887700568284</v>
      </c>
      <c r="F39">
        <f>P39/$A39</f>
        <v>78.981313761594791</v>
      </c>
      <c r="G39">
        <f>O39/$A39</f>
        <v>586.14079555446358</v>
      </c>
      <c r="J39">
        <v>1.92</v>
      </c>
      <c r="L39">
        <v>328.35624385091103</v>
      </c>
      <c r="O39">
        <v>1125.39032746457</v>
      </c>
      <c r="P39">
        <v>151.644122422262</v>
      </c>
    </row>
    <row r="40" spans="1:16" x14ac:dyDescent="0.2">
      <c r="A40">
        <v>1.93</v>
      </c>
      <c r="C40">
        <f>L40/$A40</f>
        <v>227.22732838140934</v>
      </c>
      <c r="F40">
        <f>P40/$A40</f>
        <v>102.91472273566063</v>
      </c>
      <c r="G40">
        <f>O40/$A40</f>
        <v>721.86401581208816</v>
      </c>
      <c r="J40">
        <v>1.93</v>
      </c>
      <c r="L40">
        <v>438.54874377611998</v>
      </c>
      <c r="O40">
        <v>1393.19755051733</v>
      </c>
      <c r="P40">
        <v>198.625414879825</v>
      </c>
    </row>
    <row r="41" spans="1:16" x14ac:dyDescent="0.2">
      <c r="A41">
        <v>1.94</v>
      </c>
      <c r="C41">
        <f>L41/$A41</f>
        <v>315.59004024970568</v>
      </c>
      <c r="F41">
        <f>P41/$A41</f>
        <v>141.71206949606133</v>
      </c>
      <c r="G41">
        <f>O41/$A41</f>
        <v>921.01369738585049</v>
      </c>
      <c r="J41">
        <v>1.94</v>
      </c>
      <c r="L41">
        <v>612.24467808442898</v>
      </c>
      <c r="O41">
        <v>1786.76657292855</v>
      </c>
      <c r="P41">
        <v>274.921414822359</v>
      </c>
    </row>
    <row r="42" spans="1:16" x14ac:dyDescent="0.2">
      <c r="A42">
        <v>1.95</v>
      </c>
      <c r="C42">
        <f>L42/$A42</f>
        <v>460.30994281469134</v>
      </c>
      <c r="F42">
        <f>P42/$A42</f>
        <v>216.43673545016051</v>
      </c>
      <c r="J42">
        <v>1.95</v>
      </c>
      <c r="L42">
        <v>897.60438848864806</v>
      </c>
      <c r="P42">
        <v>422.05163412781297</v>
      </c>
    </row>
    <row r="43" spans="1:16" x14ac:dyDescent="0.2">
      <c r="A43">
        <v>1.96</v>
      </c>
      <c r="C43">
        <f>L43/$A43</f>
        <v>694.9487378899388</v>
      </c>
      <c r="F43">
        <f>P43/$A43</f>
        <v>413.38669049816531</v>
      </c>
      <c r="J43">
        <v>1.96</v>
      </c>
      <c r="L43">
        <v>1362.09952626428</v>
      </c>
      <c r="P43">
        <v>810.23791337640398</v>
      </c>
    </row>
    <row r="44" spans="1:16" x14ac:dyDescent="0.2">
      <c r="A44">
        <v>1.97</v>
      </c>
      <c r="F44">
        <f>P44/$A44</f>
        <v>863.44791262605588</v>
      </c>
      <c r="J44">
        <v>1.97</v>
      </c>
      <c r="P44">
        <v>1700.99238787333</v>
      </c>
    </row>
    <row r="45" spans="1:16" x14ac:dyDescent="0.2">
      <c r="A45">
        <v>1.98</v>
      </c>
      <c r="J45">
        <v>1.98</v>
      </c>
    </row>
    <row r="46" spans="1:16" x14ac:dyDescent="0.2">
      <c r="A46">
        <v>1.99</v>
      </c>
      <c r="J46">
        <v>1.99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9F0A-8F4F-A441-9F26-EAA9E71BEB87}">
  <dimension ref="A1:O38"/>
  <sheetViews>
    <sheetView zoomScale="62" workbookViewId="0">
      <selection activeCell="J1" sqref="J1:O1048576"/>
    </sheetView>
  </sheetViews>
  <sheetFormatPr baseColWidth="10" defaultRowHeight="16" x14ac:dyDescent="0.2"/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t="s">
        <v>21</v>
      </c>
      <c r="F1" t="s">
        <v>10</v>
      </c>
      <c r="G1" t="s">
        <v>9</v>
      </c>
      <c r="I1" s="1" t="s">
        <v>0</v>
      </c>
      <c r="J1" t="s">
        <v>1</v>
      </c>
      <c r="K1" t="s">
        <v>2</v>
      </c>
      <c r="L1" t="s">
        <v>3</v>
      </c>
      <c r="M1" t="s">
        <v>21</v>
      </c>
      <c r="N1" t="s">
        <v>9</v>
      </c>
      <c r="O1" t="s">
        <v>10</v>
      </c>
    </row>
    <row r="2" spans="1:15" x14ac:dyDescent="0.2">
      <c r="A2">
        <v>1.5</v>
      </c>
      <c r="B2">
        <f>J2/$A2</f>
        <v>2.5798731311159666</v>
      </c>
      <c r="C2">
        <f>K2/$A2</f>
        <v>1.6136141215547266</v>
      </c>
      <c r="D2">
        <f>L2/$A2</f>
        <v>2.7966456802213067</v>
      </c>
      <c r="E2">
        <f>M2/$A2</f>
        <v>1.9497268193289334</v>
      </c>
      <c r="F2">
        <f>O2/$A2</f>
        <v>1.6112041031638198</v>
      </c>
      <c r="G2">
        <f>N2/$A2</f>
        <v>11.892729289669534</v>
      </c>
      <c r="I2">
        <v>1.5</v>
      </c>
      <c r="J2">
        <v>3.8698096966739501</v>
      </c>
      <c r="K2">
        <v>2.42042118233209</v>
      </c>
      <c r="L2">
        <v>4.19496852033196</v>
      </c>
      <c r="M2">
        <v>2.9245902289934</v>
      </c>
      <c r="N2">
        <v>17.839093934504302</v>
      </c>
      <c r="O2">
        <v>2.4168061547457298</v>
      </c>
    </row>
    <row r="3" spans="1:15" x14ac:dyDescent="0.2">
      <c r="A3">
        <v>1.6</v>
      </c>
      <c r="B3">
        <f>J3/$A3</f>
        <v>3.0606349589512938</v>
      </c>
      <c r="C3">
        <f>K3/$A3</f>
        <v>1.7115221156423124</v>
      </c>
      <c r="D3">
        <f>L3/$A3</f>
        <v>3.3407279305879749</v>
      </c>
      <c r="E3">
        <f>M3/$A3</f>
        <v>2.2278366815854937</v>
      </c>
      <c r="F3">
        <f>O3/$A3</f>
        <v>1.7092897127314561</v>
      </c>
      <c r="G3">
        <f>N3/$A3</f>
        <v>12.840392206910249</v>
      </c>
      <c r="I3">
        <v>1.6</v>
      </c>
      <c r="J3">
        <v>4.8970159343220701</v>
      </c>
      <c r="K3">
        <v>2.7384353850276999</v>
      </c>
      <c r="L3">
        <v>5.34516468894076</v>
      </c>
      <c r="M3">
        <v>3.5645386905367902</v>
      </c>
      <c r="N3">
        <v>20.544627531056399</v>
      </c>
      <c r="O3">
        <v>2.7348635403703301</v>
      </c>
    </row>
    <row r="4" spans="1:15" x14ac:dyDescent="0.2">
      <c r="A4">
        <v>1.7</v>
      </c>
      <c r="B4">
        <f>J4/$A4</f>
        <v>3.7742840119937826</v>
      </c>
      <c r="C4">
        <f>K4/$A4</f>
        <v>1.8264562357524707</v>
      </c>
      <c r="D4">
        <f>L4/$A4</f>
        <v>4.1347012924710178</v>
      </c>
      <c r="E4">
        <f>M4/$A4</f>
        <v>2.6565584380715412</v>
      </c>
      <c r="F4">
        <f>O4/$A4</f>
        <v>1.8243242934623589</v>
      </c>
      <c r="G4">
        <f>N4/$A4</f>
        <v>13.75232815514053</v>
      </c>
      <c r="I4">
        <v>1.7</v>
      </c>
      <c r="J4">
        <v>6.41628282038943</v>
      </c>
      <c r="K4">
        <v>3.1049756007792002</v>
      </c>
      <c r="L4">
        <v>7.0289921972007301</v>
      </c>
      <c r="M4">
        <v>4.5161493447216197</v>
      </c>
      <c r="N4">
        <v>23.378957863738901</v>
      </c>
      <c r="O4">
        <v>3.1013512988860099</v>
      </c>
    </row>
    <row r="5" spans="1:15" x14ac:dyDescent="0.2">
      <c r="A5">
        <v>1.8</v>
      </c>
      <c r="B5">
        <f>J5/$A5</f>
        <v>4.9253791854045117</v>
      </c>
      <c r="C5">
        <f>K5/$A5</f>
        <v>1.9630751169789833</v>
      </c>
      <c r="D5">
        <f>L5/$A5</f>
        <v>5.3047391072614607</v>
      </c>
      <c r="E5">
        <f>M5/$A5</f>
        <v>3.3824702483880165</v>
      </c>
      <c r="F5">
        <f>O5/$A5</f>
        <v>1.959065800330072</v>
      </c>
      <c r="G5">
        <f>N5/$A5</f>
        <v>14.833337055211111</v>
      </c>
      <c r="I5">
        <v>1.8</v>
      </c>
      <c r="J5">
        <v>8.8656825337281209</v>
      </c>
      <c r="K5">
        <v>3.53353521056217</v>
      </c>
      <c r="L5">
        <v>9.5485303930706298</v>
      </c>
      <c r="M5">
        <v>6.0884464470984296</v>
      </c>
      <c r="N5">
        <v>26.700006699380001</v>
      </c>
      <c r="O5">
        <v>3.5263184405941299</v>
      </c>
    </row>
    <row r="6" spans="1:15" x14ac:dyDescent="0.2">
      <c r="A6">
        <v>1.9</v>
      </c>
      <c r="B6">
        <f>J6/$A6</f>
        <v>7.0404781455765262</v>
      </c>
      <c r="C6">
        <f>K6/$A6</f>
        <v>2.1265296521057948</v>
      </c>
      <c r="D6">
        <f>L6/$A6</f>
        <v>7.1960571451144215</v>
      </c>
      <c r="E6">
        <f>M6/$A6</f>
        <v>5.2444156934356316</v>
      </c>
      <c r="F6">
        <f>O6/$A6</f>
        <v>2.1202685713356106</v>
      </c>
      <c r="G6">
        <f>N6/$A6</f>
        <v>16.515834366401737</v>
      </c>
      <c r="I6">
        <v>1.9</v>
      </c>
      <c r="J6">
        <v>13.3769084765954</v>
      </c>
      <c r="K6">
        <v>4.0404063390010103</v>
      </c>
      <c r="L6">
        <v>13.6725085757174</v>
      </c>
      <c r="M6">
        <v>9.9643898175276995</v>
      </c>
      <c r="N6">
        <v>31.380085296163301</v>
      </c>
      <c r="O6">
        <v>4.02851028553766</v>
      </c>
    </row>
    <row r="7" spans="1:15" x14ac:dyDescent="0.2">
      <c r="A7">
        <v>2</v>
      </c>
      <c r="B7">
        <f>J7/$A7</f>
        <v>12.8135126684634</v>
      </c>
      <c r="C7">
        <f>K7/$A7</f>
        <v>2.327858681485095</v>
      </c>
      <c r="D7">
        <f>L7/$A7</f>
        <v>10.4976787168568</v>
      </c>
      <c r="E7">
        <f>M7/$A7</f>
        <v>17.84638667651355</v>
      </c>
      <c r="F7">
        <f>O7/$A7</f>
        <v>2.3143836179866648</v>
      </c>
      <c r="G7">
        <f>N7/$A7</f>
        <v>19.959313862078051</v>
      </c>
      <c r="I7">
        <v>2</v>
      </c>
      <c r="J7">
        <v>25.627025336926799</v>
      </c>
      <c r="K7">
        <v>4.65571736297019</v>
      </c>
      <c r="L7">
        <v>20.9953574337136</v>
      </c>
      <c r="M7">
        <v>35.6927733530271</v>
      </c>
      <c r="N7">
        <v>39.918627724156103</v>
      </c>
      <c r="O7">
        <v>4.6287672359733296</v>
      </c>
    </row>
    <row r="8" spans="1:15" x14ac:dyDescent="0.2">
      <c r="A8">
        <v>2.0099999999999998</v>
      </c>
      <c r="I8">
        <v>2.0099999999999998</v>
      </c>
      <c r="M8">
        <v>50.453196880011497</v>
      </c>
    </row>
    <row r="9" spans="1:15" x14ac:dyDescent="0.2">
      <c r="A9">
        <v>2.02</v>
      </c>
      <c r="E9">
        <f>M9/$A9</f>
        <v>44.515314489827922</v>
      </c>
      <c r="I9">
        <v>2.02</v>
      </c>
      <c r="M9">
        <v>89.9209352694524</v>
      </c>
    </row>
    <row r="10" spans="1:15" x14ac:dyDescent="0.2">
      <c r="A10">
        <v>2.0299999999999998</v>
      </c>
      <c r="E10">
        <f>M10/$A10</f>
        <v>174.49878837615566</v>
      </c>
      <c r="I10">
        <v>2.0299999999999998</v>
      </c>
      <c r="M10">
        <v>354.23254040359598</v>
      </c>
    </row>
    <row r="11" spans="1:15" x14ac:dyDescent="0.2">
      <c r="A11">
        <v>2.04</v>
      </c>
      <c r="E11">
        <f>M11/$A11</f>
        <v>410.52439819137987</v>
      </c>
      <c r="I11">
        <v>2.04</v>
      </c>
      <c r="M11">
        <v>837.46977231041501</v>
      </c>
    </row>
    <row r="12" spans="1:15" x14ac:dyDescent="0.2">
      <c r="A12">
        <v>2.0499999999999998</v>
      </c>
      <c r="E12">
        <f>M12/$A12</f>
        <v>708.79476961600494</v>
      </c>
      <c r="I12">
        <v>2.0499999999999998</v>
      </c>
      <c r="M12">
        <v>1453.02927771281</v>
      </c>
    </row>
    <row r="13" spans="1:15" x14ac:dyDescent="0.2">
      <c r="A13">
        <v>2.1</v>
      </c>
      <c r="B13">
        <f>J13/$A13</f>
        <v>52.002296578875715</v>
      </c>
      <c r="C13">
        <f>K13/$A13</f>
        <v>2.5795989051288331</v>
      </c>
      <c r="D13">
        <f>L13/$A13</f>
        <v>17.229104504744715</v>
      </c>
      <c r="F13">
        <f>O13/$A13</f>
        <v>2.5522518064231714</v>
      </c>
      <c r="G13">
        <f>N13/$A13</f>
        <v>27.723402209376857</v>
      </c>
      <c r="I13">
        <v>2.1</v>
      </c>
      <c r="J13">
        <v>109.20482281563901</v>
      </c>
      <c r="K13">
        <v>5.4171577007705496</v>
      </c>
      <c r="L13">
        <v>36.181119459963902</v>
      </c>
      <c r="N13">
        <v>58.2191446396914</v>
      </c>
      <c r="O13">
        <v>5.3597287934886602</v>
      </c>
    </row>
    <row r="14" spans="1:15" x14ac:dyDescent="0.2">
      <c r="A14">
        <v>2.11</v>
      </c>
      <c r="I14">
        <v>2.11</v>
      </c>
      <c r="J14">
        <v>150.96222031754999</v>
      </c>
    </row>
    <row r="15" spans="1:15" x14ac:dyDescent="0.2">
      <c r="A15">
        <v>2.12</v>
      </c>
      <c r="B15">
        <f>J15/$A15</f>
        <v>107.92471121097122</v>
      </c>
      <c r="I15">
        <v>2.12</v>
      </c>
      <c r="J15">
        <v>228.800387767259</v>
      </c>
    </row>
    <row r="16" spans="1:15" x14ac:dyDescent="0.2">
      <c r="A16">
        <v>2.13</v>
      </c>
      <c r="B16">
        <f>J16/$A16</f>
        <v>310.87367271505775</v>
      </c>
      <c r="I16">
        <v>2.13</v>
      </c>
      <c r="J16">
        <v>662.160922883073</v>
      </c>
    </row>
    <row r="17" spans="1:15" x14ac:dyDescent="0.2">
      <c r="A17">
        <v>2.2000000000000002</v>
      </c>
      <c r="C17">
        <f>K17/$A17</f>
        <v>2.900270270379159</v>
      </c>
      <c r="D17">
        <f>L17/$A17</f>
        <v>36.210756206713043</v>
      </c>
      <c r="F17">
        <f>O17/$A17</f>
        <v>2.8510622221763544</v>
      </c>
      <c r="G17">
        <f>N17/$A17</f>
        <v>38.271127430306038</v>
      </c>
      <c r="I17">
        <v>2.2000000000000002</v>
      </c>
      <c r="K17">
        <v>6.3805945948341503</v>
      </c>
      <c r="L17">
        <v>79.663663654768698</v>
      </c>
      <c r="N17">
        <v>84.196480346673297</v>
      </c>
      <c r="O17">
        <v>6.2723368887879802</v>
      </c>
    </row>
    <row r="18" spans="1:15" x14ac:dyDescent="0.2">
      <c r="A18">
        <v>2.2999999999999998</v>
      </c>
      <c r="C18">
        <f>K18/$A18</f>
        <v>3.3213093871218438</v>
      </c>
      <c r="D18">
        <f>L18/$A18</f>
        <v>147.08911344661999</v>
      </c>
      <c r="F18">
        <f>O18/$A18</f>
        <v>3.2312811311297871</v>
      </c>
      <c r="G18">
        <f>N18/$A18</f>
        <v>47.156644232769573</v>
      </c>
      <c r="I18">
        <v>2.2999999999999998</v>
      </c>
      <c r="K18">
        <v>7.6390115903802398</v>
      </c>
      <c r="L18">
        <v>338.30496092722598</v>
      </c>
      <c r="N18">
        <v>108.46028173537</v>
      </c>
      <c r="O18">
        <v>7.4319466015985096</v>
      </c>
    </row>
    <row r="19" spans="1:15" x14ac:dyDescent="0.2">
      <c r="A19">
        <v>2.31</v>
      </c>
      <c r="I19">
        <v>2.31</v>
      </c>
      <c r="L19">
        <v>425.27912273305202</v>
      </c>
    </row>
    <row r="20" spans="1:15" x14ac:dyDescent="0.2">
      <c r="A20">
        <v>2.3199999999999998</v>
      </c>
      <c r="D20">
        <f>L20/$A20</f>
        <v>231.48405185408362</v>
      </c>
      <c r="I20">
        <v>2.3199999999999998</v>
      </c>
      <c r="L20">
        <v>537.04300030147397</v>
      </c>
    </row>
    <row r="21" spans="1:15" x14ac:dyDescent="0.2">
      <c r="A21">
        <v>2.33</v>
      </c>
      <c r="I21">
        <v>2.33</v>
      </c>
      <c r="L21">
        <v>683.32216027346396</v>
      </c>
    </row>
    <row r="22" spans="1:15" x14ac:dyDescent="0.2">
      <c r="A22">
        <v>2.34</v>
      </c>
      <c r="D22">
        <f>L22/$A22</f>
        <v>396.70400699252696</v>
      </c>
      <c r="I22">
        <v>2.34</v>
      </c>
      <c r="L22">
        <v>928.28737636251299</v>
      </c>
    </row>
    <row r="23" spans="1:15" x14ac:dyDescent="0.2">
      <c r="A23">
        <v>2.35</v>
      </c>
      <c r="D23">
        <f>L23/$A23</f>
        <v>661.62252952799997</v>
      </c>
      <c r="I23">
        <v>2.35</v>
      </c>
      <c r="L23">
        <v>1554.8129443908001</v>
      </c>
    </row>
    <row r="24" spans="1:15" x14ac:dyDescent="0.2">
      <c r="A24">
        <v>2.4</v>
      </c>
      <c r="C24">
        <f>K24/$A24</f>
        <v>3.8989144212953417</v>
      </c>
      <c r="F24">
        <f>O24/$A24</f>
        <v>3.7379614204337583</v>
      </c>
      <c r="G24">
        <f>N24/$A24</f>
        <v>58.621608706560423</v>
      </c>
      <c r="I24">
        <v>2.4</v>
      </c>
      <c r="K24">
        <v>9.3573946111088198</v>
      </c>
      <c r="N24">
        <v>140.69186089574501</v>
      </c>
      <c r="O24">
        <v>8.9711074090410197</v>
      </c>
    </row>
    <row r="25" spans="1:15" x14ac:dyDescent="0.2">
      <c r="A25">
        <v>2.5</v>
      </c>
      <c r="C25">
        <f>K25/$A25</f>
        <v>4.7340299028905601</v>
      </c>
      <c r="F25">
        <f>O25/$A25</f>
        <v>4.4344271372808794</v>
      </c>
      <c r="G25">
        <f>N25/$A25</f>
        <v>82.045501025127209</v>
      </c>
      <c r="I25">
        <v>2.5</v>
      </c>
      <c r="K25">
        <v>11.835074757226399</v>
      </c>
      <c r="N25">
        <v>205.11375256281801</v>
      </c>
      <c r="O25">
        <v>11.0860678432022</v>
      </c>
    </row>
    <row r="26" spans="1:15" x14ac:dyDescent="0.2">
      <c r="A26">
        <v>2.6</v>
      </c>
      <c r="C26">
        <f>K26/$A26</f>
        <v>6.0708508150174225</v>
      </c>
      <c r="F26">
        <f>O26/$A26</f>
        <v>5.5068168883800386</v>
      </c>
      <c r="G26">
        <f>N26/$A26</f>
        <v>111.63286321104884</v>
      </c>
      <c r="I26">
        <v>2.6</v>
      </c>
      <c r="K26">
        <v>15.7842121190453</v>
      </c>
      <c r="N26">
        <v>290.24544434872701</v>
      </c>
      <c r="O26">
        <v>14.3177239097881</v>
      </c>
    </row>
    <row r="27" spans="1:15" x14ac:dyDescent="0.2">
      <c r="A27">
        <v>2.7</v>
      </c>
      <c r="C27">
        <f>K27/$A27</f>
        <v>8.5115884097385166</v>
      </c>
      <c r="F27">
        <f>O27/$A27</f>
        <v>7.4138761187501849</v>
      </c>
      <c r="G27">
        <f>N27/$A27</f>
        <v>168.89403782067814</v>
      </c>
      <c r="I27">
        <v>2.7</v>
      </c>
      <c r="K27">
        <v>22.981288706293999</v>
      </c>
      <c r="N27">
        <v>456.013902115831</v>
      </c>
      <c r="O27">
        <v>20.0174655206255</v>
      </c>
    </row>
    <row r="28" spans="1:15" x14ac:dyDescent="0.2">
      <c r="A28">
        <v>2.8</v>
      </c>
      <c r="C28">
        <f>K28/$A28</f>
        <v>14.334380326630786</v>
      </c>
      <c r="F28">
        <f>O28/$A28</f>
        <v>11.954408574679359</v>
      </c>
      <c r="G28">
        <f>N28/$A28</f>
        <v>292.00670670381612</v>
      </c>
      <c r="I28">
        <v>2.8</v>
      </c>
      <c r="K28">
        <v>40.136264914566198</v>
      </c>
      <c r="N28">
        <v>817.61877877068503</v>
      </c>
      <c r="O28">
        <v>33.472344009102201</v>
      </c>
    </row>
    <row r="29" spans="1:15" x14ac:dyDescent="0.2">
      <c r="A29">
        <v>2.9</v>
      </c>
      <c r="C29">
        <f>K29/$A29</f>
        <v>37.322755548733447</v>
      </c>
      <c r="F29">
        <f>O29/$A29</f>
        <v>30.056151296764931</v>
      </c>
      <c r="G29">
        <f>N29/$A29</f>
        <v>860.71083636757589</v>
      </c>
      <c r="I29">
        <v>2.9</v>
      </c>
      <c r="K29">
        <v>108.23599109132699</v>
      </c>
      <c r="N29">
        <v>2496.0614254659699</v>
      </c>
      <c r="O29">
        <v>87.1628387606183</v>
      </c>
    </row>
    <row r="30" spans="1:15" x14ac:dyDescent="0.2">
      <c r="A30">
        <v>2.91</v>
      </c>
      <c r="C30">
        <f>K30/$A30</f>
        <v>43.666338173111335</v>
      </c>
      <c r="F30">
        <f>O30/$A30</f>
        <v>35.363937976427486</v>
      </c>
      <c r="G30">
        <f>N30/$A30</f>
        <v>997.48636414580415</v>
      </c>
      <c r="I30">
        <v>2.91</v>
      </c>
      <c r="K30">
        <v>127.06904408375399</v>
      </c>
      <c r="N30">
        <v>2902.6853196642901</v>
      </c>
      <c r="O30">
        <v>102.909059511404</v>
      </c>
    </row>
    <row r="31" spans="1:15" x14ac:dyDescent="0.2">
      <c r="A31">
        <v>2.92</v>
      </c>
      <c r="C31">
        <f>K31/$A31</f>
        <v>52.944162166839384</v>
      </c>
      <c r="F31">
        <f>O31/$A31</f>
        <v>42.618015865934936</v>
      </c>
      <c r="I31">
        <v>2.92</v>
      </c>
      <c r="K31">
        <v>154.596953527171</v>
      </c>
      <c r="O31">
        <v>124.44460632853</v>
      </c>
    </row>
    <row r="32" spans="1:15" x14ac:dyDescent="0.2">
      <c r="A32">
        <v>2.93</v>
      </c>
      <c r="C32">
        <f>K32/$A32</f>
        <v>67.352209006295212</v>
      </c>
      <c r="F32">
        <f>O32/$A32</f>
        <v>54.548859727341295</v>
      </c>
      <c r="I32">
        <v>2.93</v>
      </c>
      <c r="K32">
        <v>197.34197238844499</v>
      </c>
      <c r="O32">
        <v>159.82815900111001</v>
      </c>
    </row>
    <row r="33" spans="1:15" x14ac:dyDescent="0.2">
      <c r="A33">
        <v>2.94</v>
      </c>
      <c r="C33">
        <f>K33/$A33</f>
        <v>89.716758390998976</v>
      </c>
      <c r="F33">
        <f>O33/$A33</f>
        <v>76.21702760543775</v>
      </c>
      <c r="I33">
        <v>2.94</v>
      </c>
      <c r="K33">
        <v>263.76726966953697</v>
      </c>
      <c r="O33">
        <v>224.07806115998699</v>
      </c>
    </row>
    <row r="34" spans="1:15" x14ac:dyDescent="0.2">
      <c r="A34">
        <v>2.95</v>
      </c>
      <c r="C34">
        <f>K34/$A34</f>
        <v>130.38685714475966</v>
      </c>
      <c r="F34">
        <f>O34/$A34</f>
        <v>135.30834962050508</v>
      </c>
      <c r="I34">
        <v>2.95</v>
      </c>
      <c r="K34">
        <v>384.64122857704098</v>
      </c>
      <c r="O34">
        <v>399.15963138049</v>
      </c>
    </row>
    <row r="35" spans="1:15" x14ac:dyDescent="0.2">
      <c r="A35">
        <v>2.96</v>
      </c>
      <c r="C35">
        <f>K35/$A35</f>
        <v>215.03491985101758</v>
      </c>
      <c r="F35">
        <f>O35/$A35</f>
        <v>270.72869454117534</v>
      </c>
      <c r="I35">
        <v>2.96</v>
      </c>
      <c r="K35">
        <v>636.50336275901202</v>
      </c>
      <c r="O35">
        <v>801.35693584187902</v>
      </c>
    </row>
    <row r="36" spans="1:15" x14ac:dyDescent="0.2">
      <c r="A36">
        <v>2.97</v>
      </c>
      <c r="C36">
        <f>K36/$A36</f>
        <v>384.31636748867339</v>
      </c>
      <c r="F36">
        <f>O36/$A36</f>
        <v>466.9741738060269</v>
      </c>
      <c r="I36">
        <v>2.97</v>
      </c>
      <c r="K36">
        <v>1141.4196114413601</v>
      </c>
      <c r="O36">
        <v>1386.9132962039</v>
      </c>
    </row>
    <row r="37" spans="1:15" x14ac:dyDescent="0.2">
      <c r="A37">
        <v>2.98</v>
      </c>
      <c r="C37">
        <f>K37/$A37</f>
        <v>649.87280798786242</v>
      </c>
      <c r="F37">
        <f>O37/$A37</f>
        <v>713.92363288781212</v>
      </c>
      <c r="I37">
        <v>2.98</v>
      </c>
      <c r="K37">
        <v>1936.6209678038299</v>
      </c>
      <c r="O37">
        <v>2127.49242600568</v>
      </c>
    </row>
    <row r="38" spans="1:15" x14ac:dyDescent="0.2">
      <c r="A38">
        <v>2.99</v>
      </c>
      <c r="C38">
        <f>K38/$A38</f>
        <v>995.10936946017057</v>
      </c>
      <c r="F38">
        <f>O38/$A38</f>
        <v>968.53648198991959</v>
      </c>
      <c r="I38">
        <v>2.99</v>
      </c>
      <c r="K38">
        <v>2975.3770146859101</v>
      </c>
      <c r="O38">
        <v>2895.9240811498598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04E9-2A97-C94F-A793-E66F31B90910}">
  <dimension ref="A1:O33"/>
  <sheetViews>
    <sheetView zoomScale="94" workbookViewId="0">
      <selection activeCell="I1" sqref="I1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10</v>
      </c>
      <c r="G1" s="1" t="s">
        <v>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22</v>
      </c>
      <c r="N1" s="1" t="s">
        <v>9</v>
      </c>
      <c r="O1" s="1" t="s">
        <v>10</v>
      </c>
    </row>
    <row r="2" spans="1:15" x14ac:dyDescent="0.2">
      <c r="A2" s="1">
        <v>1.5</v>
      </c>
      <c r="B2">
        <f>J2/$A2</f>
        <v>2.793696337900847</v>
      </c>
      <c r="C2">
        <f>K2/$A2</f>
        <v>1.6533829955378134</v>
      </c>
      <c r="D2">
        <f>L2/$A2</f>
        <v>2.7680343903228599</v>
      </c>
      <c r="E2">
        <f>M2/$A2</f>
        <v>2.1233401119417401</v>
      </c>
      <c r="F2">
        <f>O2/$A2</f>
        <v>1.6350625331436202</v>
      </c>
      <c r="G2">
        <f>N2/$A2</f>
        <v>12.351363951765</v>
      </c>
      <c r="I2" s="1">
        <v>1.5</v>
      </c>
      <c r="J2">
        <v>4.1905445068512703</v>
      </c>
      <c r="K2">
        <v>2.48007449330672</v>
      </c>
      <c r="L2">
        <v>4.1520515854842897</v>
      </c>
      <c r="M2">
        <v>3.1850101679126102</v>
      </c>
      <c r="N2">
        <v>18.527045927647499</v>
      </c>
      <c r="O2">
        <v>2.4525937997154301</v>
      </c>
    </row>
    <row r="3" spans="1:15" x14ac:dyDescent="0.2">
      <c r="A3" s="1">
        <v>1.6</v>
      </c>
      <c r="B3">
        <f>J3/$A3</f>
        <v>3.3586494218433876</v>
      </c>
      <c r="C3">
        <f>K3/$A3</f>
        <v>1.7534295210309436</v>
      </c>
      <c r="D3">
        <f>L3/$A3</f>
        <v>3.2888894546166245</v>
      </c>
      <c r="E3">
        <f>M3/$A3</f>
        <v>2.4853367584445061</v>
      </c>
      <c r="F3">
        <f>O3/$A3</f>
        <v>1.7323490002062185</v>
      </c>
      <c r="G3">
        <f>N3/$A3</f>
        <v>13.287123024548189</v>
      </c>
      <c r="I3" s="1">
        <v>1.6</v>
      </c>
      <c r="J3">
        <v>5.3738390749494203</v>
      </c>
      <c r="K3">
        <v>2.8054872336495098</v>
      </c>
      <c r="L3">
        <v>5.2622231273865996</v>
      </c>
      <c r="M3">
        <v>3.9765388135112101</v>
      </c>
      <c r="N3">
        <v>21.259396839277102</v>
      </c>
      <c r="O3">
        <v>2.7717584003299498</v>
      </c>
    </row>
    <row r="4" spans="1:15" x14ac:dyDescent="0.2">
      <c r="A4" s="1">
        <v>1.7</v>
      </c>
      <c r="B4">
        <f>J4/$A4</f>
        <v>4.2262321852821945</v>
      </c>
      <c r="C4">
        <f>K4/$A4</f>
        <v>1.8704516976670236</v>
      </c>
      <c r="D4">
        <f>L4/$A4</f>
        <v>4.008814207131441</v>
      </c>
      <c r="E4">
        <f>M4/$A4</f>
        <v>3.1049360748958588</v>
      </c>
      <c r="F4">
        <f>O4/$A4</f>
        <v>1.8459102143843589</v>
      </c>
      <c r="G4">
        <f>N4/$A4</f>
        <v>14.187435456267471</v>
      </c>
      <c r="I4" s="1">
        <v>1.7</v>
      </c>
      <c r="J4">
        <v>7.1845947149797302</v>
      </c>
      <c r="K4">
        <v>3.17976788603394</v>
      </c>
      <c r="L4">
        <v>6.8149841521234498</v>
      </c>
      <c r="M4">
        <v>5.2783913273229599</v>
      </c>
      <c r="N4">
        <v>24.118640275654698</v>
      </c>
      <c r="O4">
        <v>3.1380473644534099</v>
      </c>
    </row>
    <row r="5" spans="1:15" x14ac:dyDescent="0.2">
      <c r="A5" s="1">
        <v>1.8</v>
      </c>
      <c r="B5">
        <f>J5/$A5</f>
        <v>5.6870579928758334</v>
      </c>
      <c r="C5">
        <f>K5/$A5</f>
        <v>2.0085514340583055</v>
      </c>
      <c r="D5">
        <f>L5/$A5</f>
        <v>5.0713700788522225</v>
      </c>
      <c r="E5">
        <f>M5/$A5</f>
        <v>4.473923456938266</v>
      </c>
      <c r="F5">
        <f>O5/$A5</f>
        <v>1.9792355693610166</v>
      </c>
      <c r="G5">
        <f>N5/$A5</f>
        <v>15.272637209577111</v>
      </c>
      <c r="I5" s="1">
        <v>1.8</v>
      </c>
      <c r="J5">
        <v>10.2367043871765</v>
      </c>
      <c r="K5">
        <v>3.6153925813049499</v>
      </c>
      <c r="L5">
        <v>9.1284661419340001</v>
      </c>
      <c r="M5">
        <v>8.0530622224888795</v>
      </c>
      <c r="N5">
        <v>27.4907469772388</v>
      </c>
      <c r="O5">
        <v>3.5626240248498302</v>
      </c>
    </row>
    <row r="6" spans="1:15" x14ac:dyDescent="0.2">
      <c r="A6" s="1">
        <v>1.9</v>
      </c>
      <c r="B6">
        <f>J6/$A6</f>
        <v>8.6749977632861057</v>
      </c>
      <c r="C6">
        <f>K6/$A6</f>
        <v>2.1734924394681365</v>
      </c>
      <c r="D6">
        <f>L6/$A6</f>
        <v>6.6940239155354213</v>
      </c>
      <c r="E6">
        <f>M6/$A6</f>
        <v>10.807663073052211</v>
      </c>
      <c r="F6">
        <f>O6/$A6</f>
        <v>2.1374858710443476</v>
      </c>
      <c r="G6">
        <f>N6/$A6</f>
        <v>17.01602702011574</v>
      </c>
      <c r="I6" s="1">
        <v>1.9</v>
      </c>
      <c r="J6">
        <v>16.482495750243601</v>
      </c>
      <c r="K6">
        <v>4.1296356349894596</v>
      </c>
      <c r="L6">
        <v>12.718645439517299</v>
      </c>
      <c r="M6">
        <v>20.534559838799201</v>
      </c>
      <c r="N6">
        <v>32.330451338219902</v>
      </c>
      <c r="O6">
        <v>4.0612231549842601</v>
      </c>
    </row>
    <row r="7" spans="1:15" x14ac:dyDescent="0.2">
      <c r="A7">
        <v>1.91</v>
      </c>
      <c r="E7">
        <f>M7/$A7</f>
        <v>12.887129586122565</v>
      </c>
      <c r="I7">
        <v>1.91</v>
      </c>
      <c r="M7">
        <v>24.6144175094941</v>
      </c>
    </row>
    <row r="8" spans="1:15" x14ac:dyDescent="0.2">
      <c r="A8">
        <v>1.92</v>
      </c>
      <c r="E8">
        <f>M8/$A8</f>
        <v>15.930925082204949</v>
      </c>
      <c r="I8">
        <v>1.92</v>
      </c>
      <c r="M8">
        <v>30.5873761578335</v>
      </c>
    </row>
    <row r="9" spans="1:15" x14ac:dyDescent="0.2">
      <c r="A9">
        <v>1.93</v>
      </c>
      <c r="E9">
        <f>M9/$A9</f>
        <v>21.639781990335337</v>
      </c>
      <c r="I9">
        <v>1.93</v>
      </c>
      <c r="M9">
        <v>41.764779241347199</v>
      </c>
    </row>
    <row r="10" spans="1:15" x14ac:dyDescent="0.2">
      <c r="A10">
        <v>1.94</v>
      </c>
      <c r="E10">
        <f>M10/$A10</f>
        <v>34.724237342811236</v>
      </c>
      <c r="I10">
        <v>1.94</v>
      </c>
      <c r="M10">
        <v>67.365020445053801</v>
      </c>
    </row>
    <row r="11" spans="1:15" x14ac:dyDescent="0.2">
      <c r="A11">
        <v>1.95</v>
      </c>
      <c r="E11">
        <f>M11/$A11</f>
        <v>131.05053501779281</v>
      </c>
      <c r="I11">
        <v>1.95</v>
      </c>
      <c r="M11">
        <v>255.548543284696</v>
      </c>
    </row>
    <row r="12" spans="1:15" x14ac:dyDescent="0.2">
      <c r="A12">
        <v>1.96</v>
      </c>
      <c r="E12">
        <f>M12/$A12</f>
        <v>350.13912537172143</v>
      </c>
      <c r="I12">
        <v>1.96</v>
      </c>
      <c r="M12">
        <v>686.27268572857395</v>
      </c>
    </row>
    <row r="13" spans="1:15" x14ac:dyDescent="0.2">
      <c r="A13">
        <v>1.97</v>
      </c>
      <c r="E13">
        <f>M13/$A13</f>
        <v>637.46168590817251</v>
      </c>
      <c r="I13">
        <v>1.97</v>
      </c>
      <c r="M13">
        <v>1255.7995212390999</v>
      </c>
    </row>
    <row r="14" spans="1:15" x14ac:dyDescent="0.2">
      <c r="A14">
        <v>1.98</v>
      </c>
      <c r="E14">
        <f>M14/$A14</f>
        <v>926.63358369104049</v>
      </c>
      <c r="I14">
        <v>1.98</v>
      </c>
      <c r="M14">
        <v>1834.7344957082601</v>
      </c>
    </row>
    <row r="15" spans="1:15" x14ac:dyDescent="0.2">
      <c r="A15" s="1">
        <v>2</v>
      </c>
      <c r="B15">
        <f>J15/$A15</f>
        <v>18.530890213306449</v>
      </c>
      <c r="C15">
        <f>K15/$A15</f>
        <v>2.3755811715376298</v>
      </c>
      <c r="D15">
        <f>L15/$A15</f>
        <v>9.3973629300490504</v>
      </c>
      <c r="F15">
        <f>O15/$A15</f>
        <v>2.3278704252424851</v>
      </c>
      <c r="G15">
        <f>N15/$A15</f>
        <v>21.096046781097801</v>
      </c>
      <c r="I15" s="1">
        <v>2</v>
      </c>
      <c r="J15">
        <v>37.061780426612899</v>
      </c>
      <c r="K15">
        <v>4.7511623430752596</v>
      </c>
      <c r="L15">
        <v>18.794725860098101</v>
      </c>
      <c r="N15">
        <v>42.192093562195602</v>
      </c>
      <c r="O15">
        <v>4.6557408504849702</v>
      </c>
    </row>
    <row r="16" spans="1:15" x14ac:dyDescent="0.2">
      <c r="A16" s="1">
        <v>2.1</v>
      </c>
      <c r="B16">
        <f>J16/$A16</f>
        <v>802.71661137737135</v>
      </c>
      <c r="C16">
        <f>K16/$A16</f>
        <v>2.6258518325059521</v>
      </c>
      <c r="D16">
        <f>L16/$A16</f>
        <v>14.303099939460523</v>
      </c>
      <c r="F16">
        <f>O16/$A16</f>
        <v>2.562211451046295</v>
      </c>
      <c r="G16">
        <f>N16/$A16</f>
        <v>30.796680842990906</v>
      </c>
      <c r="I16" s="1">
        <v>2.1</v>
      </c>
      <c r="J16">
        <v>1685.70488389248</v>
      </c>
      <c r="K16">
        <v>5.5142888482624999</v>
      </c>
      <c r="L16">
        <v>30.0365098728671</v>
      </c>
      <c r="N16">
        <v>64.673029770280905</v>
      </c>
      <c r="O16">
        <v>5.3806440471972197</v>
      </c>
    </row>
    <row r="17" spans="1:15" x14ac:dyDescent="0.2">
      <c r="A17" s="1">
        <v>2.2000000000000002</v>
      </c>
      <c r="C17">
        <f>K17/$A17</f>
        <v>2.9433313928859999</v>
      </c>
      <c r="D17">
        <f>L17/$A17</f>
        <v>26.462221082110045</v>
      </c>
      <c r="F17">
        <f>O17/$A17</f>
        <v>2.8547877529307044</v>
      </c>
      <c r="G17">
        <f>N17/$A17</f>
        <v>41.547045341204765</v>
      </c>
      <c r="I17" s="1">
        <v>2.2000000000000002</v>
      </c>
      <c r="K17">
        <v>6.4753290643492001</v>
      </c>
      <c r="L17">
        <v>58.216886380642102</v>
      </c>
      <c r="N17">
        <v>91.403499750650496</v>
      </c>
      <c r="O17">
        <v>6.2805330564475499</v>
      </c>
    </row>
    <row r="18" spans="1:15" x14ac:dyDescent="0.2">
      <c r="A18" s="1">
        <v>2.2999999999999998</v>
      </c>
      <c r="C18">
        <f>K18/$A18</f>
        <v>3.3540340665525785</v>
      </c>
      <c r="D18">
        <f>L18/$A18</f>
        <v>68.859170531010008</v>
      </c>
      <c r="F18">
        <f>O18/$A18</f>
        <v>3.223178543991239</v>
      </c>
      <c r="G18">
        <f>N18/$A18</f>
        <v>49.816695751153915</v>
      </c>
      <c r="I18" s="1">
        <v>2.2999999999999998</v>
      </c>
      <c r="K18">
        <v>7.71427835307093</v>
      </c>
      <c r="L18">
        <v>158.37609222132301</v>
      </c>
      <c r="N18">
        <v>114.578400227654</v>
      </c>
      <c r="O18">
        <v>7.4133106511798497</v>
      </c>
    </row>
    <row r="19" spans="1:15" x14ac:dyDescent="0.2">
      <c r="A19" s="1">
        <v>2.4</v>
      </c>
      <c r="C19">
        <f>K19/$A19</f>
        <v>3.9198072789193872</v>
      </c>
      <c r="D19">
        <f>L19/$A19</f>
        <v>523.14585969193331</v>
      </c>
      <c r="F19">
        <f>O19/$A19</f>
        <v>3.7072388491786876</v>
      </c>
      <c r="G19">
        <f>N19/$A19</f>
        <v>62.707622443698334</v>
      </c>
      <c r="I19" s="1">
        <v>2.4</v>
      </c>
      <c r="K19">
        <v>9.4075374694065292</v>
      </c>
      <c r="L19">
        <v>1255.5500632606399</v>
      </c>
      <c r="N19">
        <v>150.49829386487599</v>
      </c>
      <c r="O19">
        <v>8.8973732380288499</v>
      </c>
    </row>
    <row r="20" spans="1:15" x14ac:dyDescent="0.2">
      <c r="A20" s="1">
        <v>2.5</v>
      </c>
      <c r="C20">
        <f>K20/$A20</f>
        <v>4.7318157160305603</v>
      </c>
      <c r="F20">
        <f>O20/$A20</f>
        <v>4.3904788914808801</v>
      </c>
      <c r="G20">
        <f>N20/$A20</f>
        <v>88.672854299648392</v>
      </c>
      <c r="I20" s="1">
        <v>2.5</v>
      </c>
      <c r="K20">
        <v>11.829539290076401</v>
      </c>
      <c r="N20">
        <v>221.68213574912099</v>
      </c>
      <c r="O20">
        <v>10.976197228702199</v>
      </c>
    </row>
    <row r="21" spans="1:15" x14ac:dyDescent="0.2">
      <c r="A21" s="1">
        <v>2.6</v>
      </c>
      <c r="C21">
        <f>K21/$A21</f>
        <v>6.0178109283560763</v>
      </c>
      <c r="F21">
        <f>O21/$A21</f>
        <v>5.4457124248759223</v>
      </c>
      <c r="G21">
        <f>N21/$A21</f>
        <v>120.54459078667922</v>
      </c>
      <c r="I21" s="1">
        <v>2.6</v>
      </c>
      <c r="K21">
        <v>15.6463084137258</v>
      </c>
      <c r="N21">
        <v>313.41593604536598</v>
      </c>
      <c r="O21">
        <v>14.158852304677399</v>
      </c>
    </row>
    <row r="22" spans="1:15" x14ac:dyDescent="0.2">
      <c r="A22" s="1">
        <v>2.7</v>
      </c>
      <c r="C22">
        <f>K22/$A22</f>
        <v>8.3512895575941837</v>
      </c>
      <c r="F22">
        <f>O22/$A22</f>
        <v>7.3348528278082217</v>
      </c>
      <c r="G22">
        <f>N22/$A22</f>
        <v>182.80705469420815</v>
      </c>
      <c r="I22" s="1">
        <v>2.7</v>
      </c>
      <c r="K22">
        <v>22.548481805504299</v>
      </c>
      <c r="N22">
        <v>493.57904767436202</v>
      </c>
      <c r="O22">
        <v>19.804102635082199</v>
      </c>
    </row>
    <row r="23" spans="1:15" x14ac:dyDescent="0.2">
      <c r="A23" s="1">
        <v>2.8</v>
      </c>
      <c r="C23">
        <f>K23/$A23</f>
        <v>13.664749968772108</v>
      </c>
      <c r="F23">
        <f>O23/$A23</f>
        <v>11.79946501990743</v>
      </c>
      <c r="G23">
        <f>N23/$A23</f>
        <v>321.89810042099612</v>
      </c>
      <c r="I23" s="1">
        <v>2.8</v>
      </c>
      <c r="K23">
        <v>38.261299912561903</v>
      </c>
      <c r="N23">
        <v>901.31468117878899</v>
      </c>
      <c r="O23">
        <v>33.0385020557408</v>
      </c>
    </row>
    <row r="24" spans="1:15" x14ac:dyDescent="0.2">
      <c r="A24" s="1">
        <v>2.9</v>
      </c>
      <c r="C24">
        <f>K24/$A24</f>
        <v>33.435431024514138</v>
      </c>
      <c r="F24">
        <f>O24/$A24</f>
        <v>29.690791571267383</v>
      </c>
      <c r="G24">
        <f>N24/$A24</f>
        <v>965.4529166398828</v>
      </c>
      <c r="I24" s="1">
        <v>2.9</v>
      </c>
      <c r="K24">
        <v>96.962749971091</v>
      </c>
      <c r="N24">
        <v>2799.81345825566</v>
      </c>
      <c r="O24">
        <v>86.103295556675405</v>
      </c>
    </row>
    <row r="25" spans="1:15" x14ac:dyDescent="0.2">
      <c r="A25" s="1">
        <v>2.91</v>
      </c>
      <c r="C25">
        <f>K25/$A25</f>
        <v>38.410901060590724</v>
      </c>
      <c r="F25">
        <f>O25/$A25</f>
        <v>34.736954030111683</v>
      </c>
      <c r="I25" s="1">
        <v>2.91</v>
      </c>
      <c r="K25">
        <v>111.77572208631901</v>
      </c>
      <c r="O25">
        <v>101.08453622762499</v>
      </c>
    </row>
    <row r="26" spans="1:15" x14ac:dyDescent="0.2">
      <c r="A26" s="1">
        <v>2.92</v>
      </c>
      <c r="C26">
        <f>K26/$A26</f>
        <v>45.298056247938703</v>
      </c>
      <c r="F26">
        <f>O26/$A26</f>
        <v>42.10752834682534</v>
      </c>
      <c r="I26" s="1">
        <v>2.92</v>
      </c>
      <c r="K26">
        <v>132.27032424398101</v>
      </c>
      <c r="O26">
        <v>122.95398277273</v>
      </c>
    </row>
    <row r="27" spans="1:15" x14ac:dyDescent="0.2">
      <c r="A27" s="1">
        <v>2.93</v>
      </c>
      <c r="C27">
        <f>K27/$A27</f>
        <v>55.760343081868939</v>
      </c>
      <c r="F27">
        <f>O27/$A27</f>
        <v>53.460029220495905</v>
      </c>
      <c r="I27" s="1">
        <v>2.93</v>
      </c>
      <c r="K27">
        <v>163.377805229876</v>
      </c>
      <c r="O27">
        <v>156.63788561605301</v>
      </c>
    </row>
    <row r="28" spans="1:15" x14ac:dyDescent="0.2">
      <c r="A28" s="1">
        <v>2.94</v>
      </c>
      <c r="C28">
        <f>K28/$A28</f>
        <v>72.121763236131301</v>
      </c>
      <c r="F28">
        <f>O28/$A28</f>
        <v>73.587536443389794</v>
      </c>
      <c r="I28" s="1">
        <v>2.94</v>
      </c>
      <c r="K28">
        <v>212.037983914226</v>
      </c>
      <c r="O28">
        <v>216.347357143566</v>
      </c>
    </row>
    <row r="29" spans="1:15" x14ac:dyDescent="0.2">
      <c r="A29" s="1">
        <v>2.95</v>
      </c>
      <c r="C29">
        <f>K29/$A29</f>
        <v>98.470991676962697</v>
      </c>
      <c r="F29">
        <f>O29/$A29</f>
        <v>123.78298319347559</v>
      </c>
      <c r="I29" s="1">
        <v>2.95</v>
      </c>
      <c r="K29">
        <v>290.48942544703999</v>
      </c>
      <c r="O29">
        <v>365.15980042075302</v>
      </c>
    </row>
    <row r="30" spans="1:15" x14ac:dyDescent="0.2">
      <c r="A30" s="1">
        <v>2.96</v>
      </c>
      <c r="C30">
        <f>K30/$A30</f>
        <v>152.46677976398749</v>
      </c>
      <c r="F30">
        <f>O30/$A30</f>
        <v>250.60422603413718</v>
      </c>
      <c r="I30" s="1">
        <v>2.96</v>
      </c>
      <c r="K30">
        <v>451.30166810140298</v>
      </c>
      <c r="O30">
        <v>741.78850906104606</v>
      </c>
    </row>
    <row r="31" spans="1:15" x14ac:dyDescent="0.2">
      <c r="A31" s="1">
        <v>2.97</v>
      </c>
      <c r="C31">
        <f>K31/$A31</f>
        <v>276.17615000968584</v>
      </c>
      <c r="F31">
        <f>O31/$A31</f>
        <v>422.85086836354208</v>
      </c>
      <c r="I31" s="1">
        <v>2.97</v>
      </c>
      <c r="K31">
        <v>820.24316552876701</v>
      </c>
      <c r="O31">
        <v>1255.86707903972</v>
      </c>
    </row>
    <row r="32" spans="1:15" x14ac:dyDescent="0.2">
      <c r="A32" s="1">
        <v>2.98</v>
      </c>
      <c r="C32">
        <f>K32/$A32</f>
        <v>478.29010099519132</v>
      </c>
      <c r="F32">
        <f>O32/$A32</f>
        <v>653.99355726012084</v>
      </c>
      <c r="I32" s="1">
        <v>2.98</v>
      </c>
      <c r="K32">
        <v>1425.3045009656701</v>
      </c>
      <c r="O32">
        <v>1948.9008006351601</v>
      </c>
    </row>
    <row r="33" spans="1:15" x14ac:dyDescent="0.2">
      <c r="A33" s="1">
        <v>2.99</v>
      </c>
      <c r="C33">
        <f>K33/$A33</f>
        <v>773.03252225696326</v>
      </c>
      <c r="F33">
        <f>O33/$A33</f>
        <v>904.66752737029424</v>
      </c>
      <c r="I33" s="1">
        <v>2.99</v>
      </c>
      <c r="K33">
        <v>2311.3672415483202</v>
      </c>
      <c r="O33">
        <v>2704.95590683718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D9B7-F0D6-AB46-BD75-7FDB1465DAA0}">
  <dimension ref="A1:AA22"/>
  <sheetViews>
    <sheetView zoomScale="119" workbookViewId="0">
      <selection activeCell="I1" sqref="I1"/>
    </sheetView>
  </sheetViews>
  <sheetFormatPr baseColWidth="10" defaultRowHeight="16" x14ac:dyDescent="0.2"/>
  <cols>
    <col min="23" max="27" width="10.83203125" style="3"/>
  </cols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t="s">
        <v>21</v>
      </c>
      <c r="F1" t="s">
        <v>25</v>
      </c>
      <c r="G1" t="s">
        <v>10</v>
      </c>
      <c r="I1" s="1" t="s">
        <v>0</v>
      </c>
      <c r="J1" t="s">
        <v>1</v>
      </c>
      <c r="K1" t="s">
        <v>2</v>
      </c>
      <c r="L1" t="s">
        <v>3</v>
      </c>
      <c r="M1" t="s">
        <v>21</v>
      </c>
      <c r="N1" t="s">
        <v>25</v>
      </c>
      <c r="O1" t="s">
        <v>10</v>
      </c>
    </row>
    <row r="2" spans="1:15" x14ac:dyDescent="0.2">
      <c r="A2">
        <v>2</v>
      </c>
      <c r="B2">
        <f>J2/$A2</f>
        <v>11.99718295056095</v>
      </c>
      <c r="C2">
        <f>K2/$A2</f>
        <v>6.3652887571236496</v>
      </c>
      <c r="D2">
        <f>L2/$A2</f>
        <v>17.221153286647851</v>
      </c>
      <c r="E2">
        <f>M2/$A2</f>
        <v>24.989903270635949</v>
      </c>
      <c r="F2">
        <f>N2/$A2</f>
        <v>24.859275371557452</v>
      </c>
      <c r="G2">
        <f>O2/$A2</f>
        <v>5.2539135583665502</v>
      </c>
      <c r="I2">
        <v>2</v>
      </c>
      <c r="J2" s="3">
        <v>23.994365901121899</v>
      </c>
      <c r="K2" s="3">
        <v>12.730577514247299</v>
      </c>
      <c r="L2" s="3">
        <v>34.442306573295703</v>
      </c>
      <c r="M2" s="3">
        <v>49.979806541271898</v>
      </c>
      <c r="N2" s="3">
        <v>49.718550743114903</v>
      </c>
      <c r="O2" s="3">
        <v>10.5078271167331</v>
      </c>
    </row>
    <row r="3" spans="1:15" x14ac:dyDescent="0.2">
      <c r="A3">
        <v>2.1</v>
      </c>
      <c r="B3">
        <f>J3/$A3</f>
        <v>15.029991392621286</v>
      </c>
      <c r="C3">
        <f>K3/$A3</f>
        <v>7.3439372062489525</v>
      </c>
      <c r="D3">
        <f>L3/$A3</f>
        <v>22.787426971850426</v>
      </c>
      <c r="E3">
        <f>M3/$A3</f>
        <v>49.746890754206184</v>
      </c>
      <c r="F3">
        <f>N3/$A3</f>
        <v>49.356960568296664</v>
      </c>
      <c r="G3">
        <f>O3/$A3</f>
        <v>5.9524073104477617</v>
      </c>
      <c r="I3">
        <v>2.1</v>
      </c>
      <c r="J3" s="3">
        <v>31.562981924504701</v>
      </c>
      <c r="K3" s="3">
        <v>15.422268133122801</v>
      </c>
      <c r="L3" s="3">
        <v>47.853596640885897</v>
      </c>
      <c r="M3" s="3">
        <v>104.468470583833</v>
      </c>
      <c r="N3" s="3">
        <v>103.649617193423</v>
      </c>
      <c r="O3" s="3">
        <v>12.500055351940301</v>
      </c>
    </row>
    <row r="4" spans="1:15" x14ac:dyDescent="0.2">
      <c r="A4">
        <v>2.2000000000000002</v>
      </c>
      <c r="B4">
        <f>J4/$A4</f>
        <v>20.000251432374682</v>
      </c>
      <c r="C4">
        <f>K4/$A4</f>
        <v>8.4825900191546815</v>
      </c>
      <c r="D4">
        <f>L4/$A4</f>
        <v>36.960833999695041</v>
      </c>
      <c r="E4">
        <f>M4/$A4</f>
        <v>111.06833956894408</v>
      </c>
      <c r="F4">
        <f>N4/$A4</f>
        <v>110.31842722015817</v>
      </c>
      <c r="G4">
        <f>O4/$A4</f>
        <v>6.7460183231824082</v>
      </c>
      <c r="I4">
        <v>2.2000000000000002</v>
      </c>
      <c r="J4" s="3">
        <v>44.000553151224302</v>
      </c>
      <c r="K4" s="3">
        <v>18.661698042140301</v>
      </c>
      <c r="L4" s="3">
        <v>81.313834799329101</v>
      </c>
      <c r="M4" s="3">
        <v>244.35034705167701</v>
      </c>
      <c r="N4" s="3">
        <v>242.70053988434799</v>
      </c>
      <c r="O4" s="3">
        <v>14.8412403110013</v>
      </c>
    </row>
    <row r="5" spans="1:15" x14ac:dyDescent="0.2">
      <c r="A5">
        <v>2.2999999999999998</v>
      </c>
      <c r="B5">
        <f>J5/$A5</f>
        <v>26.241468122908437</v>
      </c>
      <c r="C5">
        <f>K5/$A5</f>
        <v>9.8519004779783046</v>
      </c>
      <c r="D5">
        <f>L5/$A5</f>
        <v>49.885160754114786</v>
      </c>
      <c r="E5">
        <f>M5/$A5</f>
        <v>199.17201020598003</v>
      </c>
      <c r="F5">
        <f>N5/$A5</f>
        <v>198.16551143821218</v>
      </c>
      <c r="G5">
        <f>O5/$A5</f>
        <v>7.7369862991792608</v>
      </c>
      <c r="I5">
        <v>2.2999999999999998</v>
      </c>
      <c r="J5" s="3">
        <v>60.355376682689403</v>
      </c>
      <c r="K5" s="3">
        <v>22.6593710993501</v>
      </c>
      <c r="L5" s="3">
        <v>114.735869734464</v>
      </c>
      <c r="M5" s="3">
        <v>458.09562347375402</v>
      </c>
      <c r="N5" s="3">
        <v>455.78067630788797</v>
      </c>
      <c r="O5" s="3">
        <v>17.7950684881123</v>
      </c>
    </row>
    <row r="6" spans="1:15" x14ac:dyDescent="0.2">
      <c r="A6">
        <v>2.4</v>
      </c>
      <c r="B6">
        <f>J6/$A6</f>
        <v>35.127831199027042</v>
      </c>
      <c r="C6">
        <f>K6/$A6</f>
        <v>11.648998651814168</v>
      </c>
      <c r="D6">
        <f>L6/$A6</f>
        <v>68.63650057113459</v>
      </c>
      <c r="E6">
        <f>M6/$A6</f>
        <v>320.85513329861544</v>
      </c>
      <c r="F6">
        <f>N6/$A6</f>
        <v>319.54764988462836</v>
      </c>
      <c r="G6">
        <f>O6/$A6</f>
        <v>9.0428892839310429</v>
      </c>
      <c r="I6">
        <v>2.4</v>
      </c>
      <c r="J6" s="3">
        <v>84.306794877664899</v>
      </c>
      <c r="K6" s="3">
        <v>27.957596764354001</v>
      </c>
      <c r="L6" s="3">
        <v>164.72760137072299</v>
      </c>
      <c r="M6" s="3">
        <v>770.05231991667699</v>
      </c>
      <c r="N6" s="3">
        <v>766.91435972310796</v>
      </c>
      <c r="O6" s="3">
        <v>21.702934281434501</v>
      </c>
    </row>
    <row r="7" spans="1:15" x14ac:dyDescent="0.2">
      <c r="A7">
        <v>2.5</v>
      </c>
      <c r="B7">
        <f>J7/$A7</f>
        <v>48.019801337313602</v>
      </c>
      <c r="C7">
        <f>K7/$A7</f>
        <v>13.94767236485184</v>
      </c>
      <c r="D7">
        <f>L7/$A7</f>
        <v>100.65167761548039</v>
      </c>
      <c r="E7">
        <f>M7/$A7</f>
        <v>488.46135877353998</v>
      </c>
      <c r="F7">
        <f>N7/$A7</f>
        <v>486.01609468728805</v>
      </c>
      <c r="G7">
        <f>O7/$A7</f>
        <v>10.7928155651624</v>
      </c>
      <c r="I7">
        <v>2.5</v>
      </c>
      <c r="J7" s="3">
        <v>120.049503343284</v>
      </c>
      <c r="K7" s="3">
        <v>34.8691809121296</v>
      </c>
      <c r="L7" s="3">
        <v>251.629194038701</v>
      </c>
      <c r="M7" s="3">
        <v>1221.15339693385</v>
      </c>
      <c r="N7" s="3">
        <v>1215.0402367182201</v>
      </c>
      <c r="O7" s="3">
        <v>26.982038912905999</v>
      </c>
    </row>
    <row r="8" spans="1:15" x14ac:dyDescent="0.2">
      <c r="A8">
        <v>2.6</v>
      </c>
      <c r="B8">
        <f>J8/$A8</f>
        <v>66.711820278019232</v>
      </c>
      <c r="C8">
        <f>K8/$A8</f>
        <v>16.73830647210654</v>
      </c>
      <c r="D8">
        <f>L8/$A8</f>
        <v>129.98779346226692</v>
      </c>
      <c r="E8">
        <f>M8/$A8</f>
        <v>712.78627590074609</v>
      </c>
      <c r="F8">
        <f>N8/$A8</f>
        <v>710.39514715353459</v>
      </c>
      <c r="G8">
        <f>O8/$A8</f>
        <v>12.647888023108271</v>
      </c>
      <c r="I8">
        <v>2.6</v>
      </c>
      <c r="J8" s="3">
        <v>173.45073272285001</v>
      </c>
      <c r="K8" s="3">
        <v>43.519596827477002</v>
      </c>
      <c r="L8" s="3">
        <v>337.968263001894</v>
      </c>
      <c r="M8" s="3">
        <v>1853.2443173419399</v>
      </c>
      <c r="N8" s="3">
        <v>1847.0273825991901</v>
      </c>
      <c r="O8" s="3">
        <v>32.884508860081503</v>
      </c>
    </row>
    <row r="9" spans="1:15" x14ac:dyDescent="0.2">
      <c r="A9">
        <v>2.7</v>
      </c>
      <c r="B9">
        <f>J9/$A9</f>
        <v>91.40328083673073</v>
      </c>
      <c r="C9">
        <f>K9/$A9</f>
        <v>20.060695756340778</v>
      </c>
      <c r="G9">
        <f>O9/$A9</f>
        <v>14.800624241078072</v>
      </c>
      <c r="I9">
        <v>2.7</v>
      </c>
      <c r="J9" s="3">
        <v>246.788858259173</v>
      </c>
      <c r="K9" s="3">
        <v>54.163878542120102</v>
      </c>
      <c r="M9" s="3"/>
      <c r="N9" s="3">
        <v>2940.2628394356698</v>
      </c>
      <c r="O9" s="3">
        <v>39.961685450910799</v>
      </c>
    </row>
    <row r="10" spans="1:15" x14ac:dyDescent="0.2">
      <c r="A10">
        <v>2.8</v>
      </c>
      <c r="B10">
        <f>J10/$A10</f>
        <v>138.05951262340895</v>
      </c>
      <c r="C10">
        <f>K10/$A10</f>
        <v>24.31520284150529</v>
      </c>
      <c r="G10">
        <f>O10/$A10</f>
        <v>17.62109100376875</v>
      </c>
      <c r="I10">
        <v>2.8</v>
      </c>
      <c r="J10" s="3">
        <v>386.56663534554502</v>
      </c>
      <c r="K10" s="3">
        <v>68.082567956214803</v>
      </c>
      <c r="O10" s="3">
        <v>49.339054810552497</v>
      </c>
    </row>
    <row r="11" spans="1:15" x14ac:dyDescent="0.2">
      <c r="A11">
        <v>2.9</v>
      </c>
      <c r="B11">
        <f>J11/$A11</f>
        <v>252.63972174711861</v>
      </c>
      <c r="C11">
        <f>K11/$A11</f>
        <v>30.157082786053966</v>
      </c>
      <c r="G11">
        <f>O11/$A11</f>
        <v>21.049295797878621</v>
      </c>
      <c r="I11">
        <v>2.9</v>
      </c>
      <c r="J11" s="3">
        <v>732.65519306664396</v>
      </c>
      <c r="K11" s="3">
        <v>87.455540079556499</v>
      </c>
      <c r="O11" s="3">
        <v>61.042957813847998</v>
      </c>
    </row>
    <row r="12" spans="1:15" x14ac:dyDescent="0.2">
      <c r="A12">
        <v>3</v>
      </c>
      <c r="C12">
        <f>K12/$A12</f>
        <v>37.579101469344003</v>
      </c>
      <c r="G12">
        <f>O12/$A12</f>
        <v>25.512895776757599</v>
      </c>
      <c r="I12">
        <v>3</v>
      </c>
      <c r="K12" s="3">
        <v>112.737304408032</v>
      </c>
      <c r="O12" s="3">
        <v>76.538687330272793</v>
      </c>
    </row>
    <row r="13" spans="1:15" x14ac:dyDescent="0.2">
      <c r="A13">
        <v>3.1</v>
      </c>
      <c r="C13">
        <f>K13/$A13</f>
        <v>47.86342864903645</v>
      </c>
      <c r="G13">
        <f>O13/$A13</f>
        <v>31.372033395281029</v>
      </c>
      <c r="I13">
        <v>3.1</v>
      </c>
      <c r="K13" s="3">
        <v>148.376628812013</v>
      </c>
      <c r="O13" s="3">
        <v>97.253303525371194</v>
      </c>
    </row>
    <row r="14" spans="1:15" x14ac:dyDescent="0.2">
      <c r="A14">
        <v>3.2</v>
      </c>
      <c r="C14">
        <f>K14/$A14</f>
        <v>60.910263356620305</v>
      </c>
      <c r="G14">
        <f>O14/$A14</f>
        <v>39.135555481082811</v>
      </c>
      <c r="I14">
        <v>3.2</v>
      </c>
      <c r="K14" s="3">
        <v>194.91284274118499</v>
      </c>
      <c r="O14" s="3">
        <v>125.233777539465</v>
      </c>
    </row>
    <row r="15" spans="1:15" x14ac:dyDescent="0.2">
      <c r="A15">
        <v>3.3</v>
      </c>
      <c r="C15">
        <f>K15/$A15</f>
        <v>85.030355904444249</v>
      </c>
      <c r="G15">
        <f>O15/$A15</f>
        <v>53.180275948843942</v>
      </c>
      <c r="I15">
        <v>3.3</v>
      </c>
      <c r="K15" s="3">
        <v>280.60017448466601</v>
      </c>
      <c r="O15" s="3">
        <v>175.49491063118501</v>
      </c>
    </row>
    <row r="16" spans="1:15" x14ac:dyDescent="0.2">
      <c r="A16">
        <v>3.4</v>
      </c>
      <c r="C16">
        <f>K16/$A16</f>
        <v>117.9829532958953</v>
      </c>
      <c r="G16">
        <f>O16/$A16</f>
        <v>70.74144297344823</v>
      </c>
      <c r="I16">
        <v>3.4</v>
      </c>
      <c r="K16" s="3">
        <v>401.14204120604398</v>
      </c>
      <c r="O16" s="3">
        <v>240.520906109724</v>
      </c>
    </row>
    <row r="17" spans="1:15" x14ac:dyDescent="0.2">
      <c r="A17">
        <v>3.5</v>
      </c>
      <c r="C17">
        <f>K17/$A17</f>
        <v>177.74034565730113</v>
      </c>
      <c r="G17">
        <f>O17/$A17</f>
        <v>109.73397496299629</v>
      </c>
      <c r="I17">
        <v>3.5</v>
      </c>
      <c r="K17" s="3">
        <v>622.091209800554</v>
      </c>
      <c r="O17" s="3">
        <v>384.068912370487</v>
      </c>
    </row>
    <row r="18" spans="1:15" x14ac:dyDescent="0.2">
      <c r="A18">
        <v>3.6</v>
      </c>
      <c r="C18">
        <f>K18/$A18</f>
        <v>271.0935293827514</v>
      </c>
      <c r="G18">
        <f>O18/$A18</f>
        <v>158.5266931926875</v>
      </c>
      <c r="I18">
        <v>3.6</v>
      </c>
      <c r="K18" s="3">
        <v>975.93670577790499</v>
      </c>
      <c r="O18" s="3">
        <v>570.69609549367499</v>
      </c>
    </row>
    <row r="19" spans="1:15" x14ac:dyDescent="0.2">
      <c r="A19">
        <v>3.69999999999999</v>
      </c>
      <c r="G19">
        <f>O19/$A19</f>
        <v>224.26713128100764</v>
      </c>
      <c r="I19">
        <v>3.69999999999999</v>
      </c>
      <c r="O19" s="3">
        <v>829.78838573972598</v>
      </c>
    </row>
    <row r="20" spans="1:15" x14ac:dyDescent="0.2">
      <c r="A20">
        <v>3.7999999999999901</v>
      </c>
      <c r="G20">
        <f>O20/$A20</f>
        <v>308.91387740665868</v>
      </c>
      <c r="I20">
        <v>3.7999999999999901</v>
      </c>
      <c r="O20" s="3">
        <v>1173.8727341453</v>
      </c>
    </row>
    <row r="21" spans="1:15" x14ac:dyDescent="0.2">
      <c r="A21">
        <v>3.8999999999999901</v>
      </c>
      <c r="G21">
        <f>O21/$A21</f>
        <v>426.8074457603293</v>
      </c>
      <c r="I21">
        <v>3.8999999999999901</v>
      </c>
      <c r="O21" s="3">
        <v>1664.5490384652801</v>
      </c>
    </row>
    <row r="22" spans="1:15" x14ac:dyDescent="0.2">
      <c r="A22">
        <v>3.9999999999999898</v>
      </c>
      <c r="I22">
        <v>3.9999999999999898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BDD4-8862-9C49-9621-505FDEF3FF2B}">
  <dimension ref="A1:AA168"/>
  <sheetViews>
    <sheetView zoomScale="86" workbookViewId="0"/>
  </sheetViews>
  <sheetFormatPr baseColWidth="10" defaultRowHeight="16" x14ac:dyDescent="0.2"/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t="s">
        <v>21</v>
      </c>
      <c r="F1" t="s">
        <v>25</v>
      </c>
      <c r="G1" t="s">
        <v>10</v>
      </c>
      <c r="I1" s="1" t="s">
        <v>0</v>
      </c>
      <c r="J1" t="s">
        <v>1</v>
      </c>
      <c r="K1" t="s">
        <v>2</v>
      </c>
      <c r="L1" t="s">
        <v>3</v>
      </c>
      <c r="M1" t="s">
        <v>21</v>
      </c>
      <c r="N1" t="s">
        <v>25</v>
      </c>
      <c r="O1" t="s">
        <v>10</v>
      </c>
    </row>
    <row r="2" spans="1:15" x14ac:dyDescent="0.2">
      <c r="A2">
        <v>7</v>
      </c>
      <c r="B2">
        <f>J2/$A2</f>
        <v>67.482489746343575</v>
      </c>
      <c r="C2">
        <f>K2/$A2</f>
        <v>4.0826603491401574</v>
      </c>
      <c r="E2">
        <f>M2/$A2</f>
        <v>16.189765264574142</v>
      </c>
      <c r="F2">
        <f>N2/$A2</f>
        <v>16.189765264574142</v>
      </c>
      <c r="G2">
        <f>O2/$A2</f>
        <v>3.349602523207257</v>
      </c>
      <c r="I2">
        <v>7</v>
      </c>
      <c r="J2">
        <v>472.37742822440498</v>
      </c>
      <c r="K2">
        <v>28.5786224439811</v>
      </c>
      <c r="M2">
        <v>113.328356852019</v>
      </c>
      <c r="N2">
        <v>113.328356852019</v>
      </c>
      <c r="O2">
        <v>23.4472176624508</v>
      </c>
    </row>
    <row r="3" spans="1:15" x14ac:dyDescent="0.2">
      <c r="A3">
        <v>7.1</v>
      </c>
      <c r="I3">
        <v>7.1</v>
      </c>
      <c r="J3">
        <v>531.28251016422405</v>
      </c>
      <c r="K3">
        <v>30.5157473773262</v>
      </c>
      <c r="M3">
        <v>127.907083601053</v>
      </c>
      <c r="N3">
        <v>127.907083601053</v>
      </c>
      <c r="O3">
        <v>24.758340762739</v>
      </c>
    </row>
    <row r="4" spans="1:15" x14ac:dyDescent="0.2">
      <c r="A4">
        <v>7.2</v>
      </c>
      <c r="B4">
        <f>J4/$A4</f>
        <v>82.485517836371528</v>
      </c>
      <c r="I4">
        <v>7.2</v>
      </c>
      <c r="J4">
        <v>593.89572842187499</v>
      </c>
      <c r="K4">
        <v>32.587398796707397</v>
      </c>
      <c r="M4">
        <v>142.66175818251401</v>
      </c>
      <c r="N4">
        <v>142.66175818251401</v>
      </c>
      <c r="O4">
        <v>26.189041862718401</v>
      </c>
    </row>
    <row r="5" spans="1:15" x14ac:dyDescent="0.2">
      <c r="A5">
        <v>7.3</v>
      </c>
      <c r="I5">
        <v>7.3</v>
      </c>
      <c r="J5">
        <v>659.49859939219402</v>
      </c>
      <c r="K5">
        <v>34.807521163200903</v>
      </c>
      <c r="M5">
        <v>159.550627930399</v>
      </c>
      <c r="N5">
        <v>159.550627930399</v>
      </c>
      <c r="O5">
        <v>27.9921869078151</v>
      </c>
    </row>
    <row r="6" spans="1:15" x14ac:dyDescent="0.2">
      <c r="A6">
        <v>7.4</v>
      </c>
      <c r="B6">
        <f>J6/$A6</f>
        <v>98.390113568139185</v>
      </c>
      <c r="C6">
        <f>K6/$A6</f>
        <v>5.0411491795456085</v>
      </c>
      <c r="E6">
        <f>M6/$A6</f>
        <v>24.029373108524592</v>
      </c>
      <c r="F6">
        <f>N6/$A6</f>
        <v>24.029373108524592</v>
      </c>
      <c r="G6">
        <f>O6/$A6</f>
        <v>4.056058987859581</v>
      </c>
      <c r="I6">
        <v>7.4</v>
      </c>
      <c r="J6">
        <v>728.08684040422997</v>
      </c>
      <c r="K6">
        <v>37.304503928637502</v>
      </c>
      <c r="M6">
        <v>177.817361003082</v>
      </c>
      <c r="N6">
        <v>177.817361003082</v>
      </c>
      <c r="O6">
        <v>30.014836510160901</v>
      </c>
    </row>
    <row r="7" spans="1:15" x14ac:dyDescent="0.2">
      <c r="A7">
        <v>7.5</v>
      </c>
      <c r="I7">
        <v>7.5</v>
      </c>
      <c r="K7">
        <v>40.481050045628102</v>
      </c>
      <c r="M7">
        <v>195.900022985254</v>
      </c>
      <c r="N7">
        <v>195.900022985254</v>
      </c>
      <c r="O7">
        <v>32.238700116690197</v>
      </c>
    </row>
    <row r="8" spans="1:15" x14ac:dyDescent="0.2">
      <c r="A8">
        <v>7.6</v>
      </c>
      <c r="I8">
        <v>7.6</v>
      </c>
      <c r="K8">
        <v>44.082886151405397</v>
      </c>
      <c r="M8">
        <v>216.88974669841301</v>
      </c>
      <c r="N8">
        <v>216.88974669841301</v>
      </c>
      <c r="O8">
        <v>34.671733019398303</v>
      </c>
    </row>
    <row r="9" spans="1:15" x14ac:dyDescent="0.2">
      <c r="A9">
        <v>7.7</v>
      </c>
      <c r="I9">
        <v>7.7</v>
      </c>
      <c r="K9">
        <v>48.250099601401502</v>
      </c>
      <c r="M9">
        <v>236.69493098495499</v>
      </c>
      <c r="N9">
        <v>236.69493098495499</v>
      </c>
      <c r="O9">
        <v>37.211442388122599</v>
      </c>
    </row>
    <row r="10" spans="1:15" x14ac:dyDescent="0.2">
      <c r="A10">
        <v>7.8</v>
      </c>
      <c r="I10">
        <v>7.8</v>
      </c>
      <c r="K10">
        <v>52.963208514366698</v>
      </c>
      <c r="M10">
        <v>256.08162236541699</v>
      </c>
      <c r="N10">
        <v>256.08162236541699</v>
      </c>
      <c r="O10">
        <v>40.4715749555236</v>
      </c>
    </row>
    <row r="11" spans="1:15" x14ac:dyDescent="0.2">
      <c r="A11">
        <v>7.9</v>
      </c>
      <c r="I11">
        <v>7.9</v>
      </c>
      <c r="K11">
        <v>58.389029127094702</v>
      </c>
      <c r="M11">
        <v>278.43894746111403</v>
      </c>
      <c r="N11">
        <v>278.43894746111403</v>
      </c>
      <c r="O11">
        <v>43.954262947173</v>
      </c>
    </row>
    <row r="12" spans="1:15" x14ac:dyDescent="0.2">
      <c r="A12">
        <v>8</v>
      </c>
      <c r="C12">
        <f>K12/$A12</f>
        <v>8.0331408860809628</v>
      </c>
      <c r="E12">
        <f>M12/$A12</f>
        <v>37.699637377810376</v>
      </c>
      <c r="F12">
        <f>N12/$A12</f>
        <v>37.699637377810376</v>
      </c>
      <c r="G12">
        <f>O12/$A12</f>
        <v>5.9644702598759496</v>
      </c>
      <c r="I12">
        <v>8</v>
      </c>
      <c r="K12">
        <v>64.265127088647702</v>
      </c>
      <c r="M12">
        <v>301.59709902248301</v>
      </c>
      <c r="N12">
        <v>301.59709902248301</v>
      </c>
      <c r="O12">
        <v>47.715762079007597</v>
      </c>
    </row>
    <row r="13" spans="1:15" x14ac:dyDescent="0.2">
      <c r="A13">
        <v>8.1</v>
      </c>
      <c r="I13">
        <v>8.1</v>
      </c>
      <c r="K13">
        <v>70.741352980176103</v>
      </c>
      <c r="M13">
        <v>325.32366444403499</v>
      </c>
      <c r="N13">
        <v>325.32366444403499</v>
      </c>
      <c r="O13">
        <v>51.677647466163499</v>
      </c>
    </row>
    <row r="14" spans="1:15" x14ac:dyDescent="0.2">
      <c r="A14">
        <v>8.1999999999999993</v>
      </c>
      <c r="I14">
        <v>8.1999999999999993</v>
      </c>
      <c r="K14">
        <v>78.702989961596103</v>
      </c>
      <c r="M14">
        <v>352.23266571636299</v>
      </c>
      <c r="N14">
        <v>352.23266571636299</v>
      </c>
      <c r="O14">
        <v>55.9995959636828</v>
      </c>
    </row>
    <row r="15" spans="1:15" x14ac:dyDescent="0.2">
      <c r="A15">
        <v>8.3000000000000007</v>
      </c>
      <c r="I15">
        <v>8.3000000000000007</v>
      </c>
      <c r="K15">
        <v>88.602081987613403</v>
      </c>
      <c r="M15">
        <v>380.20699381302501</v>
      </c>
      <c r="N15">
        <v>380.20699381302501</v>
      </c>
      <c r="O15">
        <v>60.697765160112297</v>
      </c>
    </row>
    <row r="16" spans="1:15" x14ac:dyDescent="0.2">
      <c r="A16">
        <v>8.4</v>
      </c>
      <c r="I16">
        <v>8.4</v>
      </c>
      <c r="K16">
        <v>99.855089802435302</v>
      </c>
      <c r="M16">
        <v>410.11793763936299</v>
      </c>
      <c r="N16">
        <v>410.11793763936299</v>
      </c>
      <c r="O16">
        <v>65.757952802141205</v>
      </c>
    </row>
    <row r="17" spans="1:15" x14ac:dyDescent="0.2">
      <c r="A17">
        <v>8.4999999999999893</v>
      </c>
      <c r="C17">
        <f>K17/$A17</f>
        <v>13.478435743057194</v>
      </c>
      <c r="E17">
        <f>M17/$A17</f>
        <v>52.060216664958766</v>
      </c>
      <c r="F17">
        <f>N17/$A17</f>
        <v>52.060216664958766</v>
      </c>
      <c r="G17">
        <f>O17/$A17</f>
        <v>8.3427292540069153</v>
      </c>
      <c r="I17">
        <v>8.4999999999999893</v>
      </c>
      <c r="K17">
        <v>114.566703815986</v>
      </c>
      <c r="M17">
        <v>442.51184165214897</v>
      </c>
      <c r="N17">
        <v>442.51184165214897</v>
      </c>
      <c r="O17">
        <v>70.913198659058693</v>
      </c>
    </row>
    <row r="18" spans="1:15" x14ac:dyDescent="0.2">
      <c r="A18">
        <v>8.5999999999999908</v>
      </c>
      <c r="I18">
        <v>8.5999999999999908</v>
      </c>
      <c r="K18">
        <v>133.009427505757</v>
      </c>
      <c r="M18">
        <v>477.41493658621698</v>
      </c>
      <c r="N18">
        <v>477.41493658621698</v>
      </c>
      <c r="O18">
        <v>76.661695806130098</v>
      </c>
    </row>
    <row r="19" spans="1:15" x14ac:dyDescent="0.2">
      <c r="A19">
        <v>8.6999999999999904</v>
      </c>
      <c r="I19">
        <v>8.6999999999999904</v>
      </c>
      <c r="K19">
        <v>154.27722864902299</v>
      </c>
      <c r="M19">
        <v>510.823326467279</v>
      </c>
      <c r="N19">
        <v>510.823326467279</v>
      </c>
      <c r="O19">
        <v>82.190277667255799</v>
      </c>
    </row>
    <row r="20" spans="1:15" x14ac:dyDescent="0.2">
      <c r="A20">
        <v>8.7999999999999901</v>
      </c>
      <c r="I20">
        <v>8.7999999999999901</v>
      </c>
      <c r="K20">
        <v>176.177835440716</v>
      </c>
      <c r="M20">
        <v>545.97806821485801</v>
      </c>
      <c r="N20">
        <v>545.97806821485801</v>
      </c>
      <c r="O20">
        <v>88.202805968750795</v>
      </c>
    </row>
    <row r="21" spans="1:15" x14ac:dyDescent="0.2">
      <c r="A21">
        <v>8.8999999999999897</v>
      </c>
      <c r="I21">
        <v>8.8999999999999897</v>
      </c>
      <c r="K21">
        <v>200.114468931923</v>
      </c>
      <c r="M21">
        <v>580.01388454289599</v>
      </c>
      <c r="N21">
        <v>580.01388454289599</v>
      </c>
      <c r="O21">
        <v>93.956572500337899</v>
      </c>
    </row>
    <row r="22" spans="1:15" x14ac:dyDescent="0.2">
      <c r="A22">
        <v>8.9999999999999893</v>
      </c>
      <c r="C22">
        <f>K22/$A22</f>
        <v>25.351680409668475</v>
      </c>
      <c r="E22">
        <f>M22/$A22</f>
        <v>68.753723878622964</v>
      </c>
      <c r="F22">
        <f>N22/$A22</f>
        <v>68.753723878622964</v>
      </c>
      <c r="G22">
        <f>O22/$A22</f>
        <v>11.123659574479902</v>
      </c>
      <c r="I22">
        <v>8.9999999999999893</v>
      </c>
      <c r="K22">
        <v>228.16512368701601</v>
      </c>
      <c r="M22">
        <v>618.78351490760599</v>
      </c>
      <c r="N22">
        <v>618.78351490760599</v>
      </c>
      <c r="O22">
        <v>100.112936170319</v>
      </c>
    </row>
    <row r="23" spans="1:15" x14ac:dyDescent="0.2">
      <c r="A23">
        <v>9.0999999999999908</v>
      </c>
      <c r="I23">
        <v>9.0999999999999908</v>
      </c>
      <c r="K23">
        <v>258.54252081771199</v>
      </c>
      <c r="M23">
        <v>659.32342057057394</v>
      </c>
      <c r="N23">
        <v>659.32342057057394</v>
      </c>
      <c r="O23">
        <v>107.356031568307</v>
      </c>
    </row>
    <row r="24" spans="1:15" x14ac:dyDescent="0.2">
      <c r="A24">
        <v>9.1999999999999904</v>
      </c>
      <c r="I24">
        <v>9.1999999999999904</v>
      </c>
      <c r="K24">
        <v>289.98853813640102</v>
      </c>
      <c r="M24">
        <v>705.14794270259097</v>
      </c>
      <c r="N24">
        <v>705.14794270259097</v>
      </c>
      <c r="O24">
        <v>114.59407009452801</v>
      </c>
    </row>
    <row r="25" spans="1:15" x14ac:dyDescent="0.2">
      <c r="A25">
        <v>9.2999999999999901</v>
      </c>
      <c r="I25">
        <v>9.2999999999999901</v>
      </c>
      <c r="K25">
        <v>322.05427997855401</v>
      </c>
      <c r="M25">
        <v>753.42718471005105</v>
      </c>
      <c r="N25">
        <v>753.42718471005105</v>
      </c>
      <c r="O25">
        <v>122.81442181014501</v>
      </c>
    </row>
    <row r="26" spans="1:15" x14ac:dyDescent="0.2">
      <c r="A26">
        <v>9.3999999999999897</v>
      </c>
      <c r="I26">
        <v>9.3999999999999897</v>
      </c>
      <c r="K26">
        <v>356.92054398410801</v>
      </c>
      <c r="M26">
        <v>798.49069080593802</v>
      </c>
      <c r="N26">
        <v>798.49069080593802</v>
      </c>
      <c r="O26">
        <v>130.977534213643</v>
      </c>
    </row>
    <row r="27" spans="1:15" x14ac:dyDescent="0.2">
      <c r="A27">
        <v>9.4999999999999893</v>
      </c>
      <c r="C27">
        <f>K27/$A27</f>
        <v>41.625859994046991</v>
      </c>
      <c r="E27">
        <f>M27/$A27</f>
        <v>89.309806859920727</v>
      </c>
      <c r="F27">
        <f>N27/$A27</f>
        <v>89.309806859920727</v>
      </c>
      <c r="G27">
        <f>O27/$A27</f>
        <v>14.718330841324649</v>
      </c>
      <c r="I27">
        <v>9.4999999999999893</v>
      </c>
      <c r="K27">
        <v>395.44566994344598</v>
      </c>
      <c r="M27">
        <v>848.44316516924596</v>
      </c>
      <c r="N27">
        <v>848.44316516924596</v>
      </c>
      <c r="O27">
        <v>139.824142992584</v>
      </c>
    </row>
    <row r="28" spans="1:15" x14ac:dyDescent="0.2">
      <c r="A28">
        <v>9.5999999999999908</v>
      </c>
      <c r="I28">
        <v>9.5999999999999908</v>
      </c>
      <c r="K28">
        <v>437.54927281773797</v>
      </c>
      <c r="M28">
        <v>897.02369423768198</v>
      </c>
      <c r="N28">
        <v>897.02369423768198</v>
      </c>
      <c r="O28">
        <v>149.11688816159699</v>
      </c>
    </row>
    <row r="29" spans="1:15" x14ac:dyDescent="0.2">
      <c r="A29">
        <v>9.6999999999999904</v>
      </c>
      <c r="I29">
        <v>9.6999999999999904</v>
      </c>
      <c r="K29">
        <v>484.91641545643603</v>
      </c>
      <c r="M29">
        <v>947.69443948036496</v>
      </c>
      <c r="N29">
        <v>947.69443948036496</v>
      </c>
      <c r="O29">
        <v>158.35325960135199</v>
      </c>
    </row>
    <row r="30" spans="1:15" x14ac:dyDescent="0.2">
      <c r="A30">
        <v>9.7999999999999901</v>
      </c>
      <c r="I30">
        <v>9.7999999999999901</v>
      </c>
      <c r="K30">
        <v>536.40213392329201</v>
      </c>
      <c r="M30">
        <v>992.30331798410703</v>
      </c>
      <c r="N30">
        <v>992.30331798410703</v>
      </c>
      <c r="O30">
        <v>168.01502958223</v>
      </c>
    </row>
    <row r="31" spans="1:15" x14ac:dyDescent="0.2">
      <c r="A31">
        <v>9.8999999999999897</v>
      </c>
      <c r="I31">
        <v>9.8999999999999897</v>
      </c>
      <c r="K31">
        <v>590.177018185272</v>
      </c>
      <c r="M31">
        <v>1040.58117142779</v>
      </c>
      <c r="N31">
        <v>1040.58117142779</v>
      </c>
      <c r="O31">
        <v>177.88499241258401</v>
      </c>
    </row>
    <row r="32" spans="1:15" x14ac:dyDescent="0.2">
      <c r="A32">
        <v>9.9999999999999893</v>
      </c>
      <c r="C32">
        <f>K32/$A32</f>
        <v>64.849937350039966</v>
      </c>
      <c r="E32">
        <f>M32/$A32</f>
        <v>109.42381088390512</v>
      </c>
      <c r="F32">
        <f>N32/$A32</f>
        <v>109.42381088390512</v>
      </c>
      <c r="G32">
        <f>O32/$A32</f>
        <v>18.780456434676118</v>
      </c>
      <c r="I32">
        <v>9.9999999999999893</v>
      </c>
      <c r="K32">
        <v>648.49937350039897</v>
      </c>
      <c r="M32">
        <v>1094.23810883905</v>
      </c>
      <c r="N32">
        <v>1094.23810883905</v>
      </c>
      <c r="O32">
        <v>187.804564346761</v>
      </c>
    </row>
    <row r="33" spans="1:15" x14ac:dyDescent="0.2">
      <c r="A33">
        <v>10.1</v>
      </c>
      <c r="I33">
        <v>10.1</v>
      </c>
      <c r="K33">
        <v>711.94438911370696</v>
      </c>
      <c r="M33">
        <v>1150.5809010273799</v>
      </c>
      <c r="N33">
        <v>1150.5809010273799</v>
      </c>
      <c r="O33">
        <v>198.13526179373699</v>
      </c>
    </row>
    <row r="34" spans="1:15" x14ac:dyDescent="0.2">
      <c r="A34">
        <v>10.199999999999999</v>
      </c>
      <c r="I34">
        <v>10.199999999999999</v>
      </c>
      <c r="K34">
        <v>779.40554267331299</v>
      </c>
      <c r="M34">
        <v>1204.88962988962</v>
      </c>
      <c r="N34">
        <v>1204.88962988962</v>
      </c>
      <c r="O34">
        <v>208.92262247697499</v>
      </c>
    </row>
    <row r="35" spans="1:15" x14ac:dyDescent="0.2">
      <c r="A35">
        <v>10.3</v>
      </c>
      <c r="I35">
        <v>10.3</v>
      </c>
      <c r="K35">
        <v>850.22640667351095</v>
      </c>
      <c r="M35">
        <v>1259.73833313143</v>
      </c>
      <c r="N35">
        <v>1259.73833313143</v>
      </c>
      <c r="O35">
        <v>219.65718550604501</v>
      </c>
    </row>
    <row r="36" spans="1:15" x14ac:dyDescent="0.2">
      <c r="A36">
        <v>10.4</v>
      </c>
      <c r="C36">
        <f>K36/$A36</f>
        <v>88.835177825429994</v>
      </c>
      <c r="E36">
        <f>M36/$A36</f>
        <v>126.35259417105289</v>
      </c>
      <c r="F36">
        <f>N36/$A36</f>
        <v>126.35259417105289</v>
      </c>
      <c r="G36">
        <f>O36/$A36</f>
        <v>22.101257097840094</v>
      </c>
      <c r="I36">
        <v>10.4</v>
      </c>
      <c r="K36">
        <v>923.88584938447195</v>
      </c>
      <c r="M36">
        <v>1314.06697937895</v>
      </c>
      <c r="N36">
        <v>1314.06697937895</v>
      </c>
      <c r="O36">
        <v>229.85307381753699</v>
      </c>
    </row>
    <row r="37" spans="1:15" x14ac:dyDescent="0.2">
      <c r="A37">
        <v>10.5</v>
      </c>
      <c r="I37">
        <v>10.5</v>
      </c>
      <c r="M37">
        <v>1374.2398190884201</v>
      </c>
      <c r="N37">
        <v>1374.2398190884201</v>
      </c>
      <c r="O37">
        <v>241.047645387475</v>
      </c>
    </row>
    <row r="38" spans="1:15" x14ac:dyDescent="0.2">
      <c r="A38">
        <v>10.6</v>
      </c>
      <c r="I38">
        <v>10.6</v>
      </c>
      <c r="M38">
        <v>1431.61855471184</v>
      </c>
      <c r="N38">
        <v>1431.61855471184</v>
      </c>
      <c r="O38">
        <v>252.32836909078799</v>
      </c>
    </row>
    <row r="39" spans="1:15" x14ac:dyDescent="0.2">
      <c r="A39">
        <v>10.7</v>
      </c>
      <c r="I39">
        <v>10.7</v>
      </c>
      <c r="M39">
        <v>1491.4805875045899</v>
      </c>
      <c r="N39">
        <v>1491.4805875045899</v>
      </c>
      <c r="O39">
        <v>264.16185038119102</v>
      </c>
    </row>
    <row r="40" spans="1:15" x14ac:dyDescent="0.2">
      <c r="A40">
        <v>10.8</v>
      </c>
      <c r="I40">
        <v>10.8</v>
      </c>
      <c r="M40">
        <v>1556.0886332062501</v>
      </c>
      <c r="N40">
        <v>1556.0886332062501</v>
      </c>
      <c r="O40">
        <v>276.26277416067802</v>
      </c>
    </row>
    <row r="41" spans="1:15" x14ac:dyDescent="0.2">
      <c r="A41">
        <v>10.9</v>
      </c>
      <c r="I41">
        <v>10.9</v>
      </c>
      <c r="M41">
        <v>1617.8347629102</v>
      </c>
      <c r="N41">
        <v>1617.8347629102</v>
      </c>
      <c r="O41">
        <v>288.10017399012099</v>
      </c>
    </row>
    <row r="42" spans="1:15" x14ac:dyDescent="0.2">
      <c r="A42">
        <v>11</v>
      </c>
      <c r="E42">
        <f>M42/$A42</f>
        <v>153.60384004933181</v>
      </c>
      <c r="F42">
        <f>N42/$A42</f>
        <v>153.60384004933181</v>
      </c>
      <c r="G42">
        <f>O42/$A42</f>
        <v>27.311482581808182</v>
      </c>
      <c r="I42">
        <v>11</v>
      </c>
      <c r="M42">
        <v>1689.6422405426499</v>
      </c>
      <c r="N42">
        <v>1689.6422405426499</v>
      </c>
      <c r="O42">
        <v>300.42630839988999</v>
      </c>
    </row>
    <row r="43" spans="1:15" x14ac:dyDescent="0.2">
      <c r="A43">
        <v>11.1</v>
      </c>
      <c r="I43">
        <v>11.1</v>
      </c>
      <c r="M43">
        <v>1762.5909643810401</v>
      </c>
      <c r="N43">
        <v>1762.5909643810401</v>
      </c>
      <c r="O43">
        <v>312.87605985201202</v>
      </c>
    </row>
    <row r="44" spans="1:15" x14ac:dyDescent="0.2">
      <c r="A44">
        <v>11.2</v>
      </c>
      <c r="I44">
        <v>11.2</v>
      </c>
      <c r="M44">
        <v>1837.4943719359701</v>
      </c>
      <c r="N44">
        <v>1837.4943719359701</v>
      </c>
      <c r="O44">
        <v>325.82543763203199</v>
      </c>
    </row>
    <row r="45" spans="1:15" x14ac:dyDescent="0.2">
      <c r="A45">
        <v>11.3</v>
      </c>
      <c r="I45">
        <v>11.3</v>
      </c>
      <c r="M45">
        <v>1914.6862489043999</v>
      </c>
      <c r="N45">
        <v>1914.6862489043999</v>
      </c>
      <c r="O45">
        <v>338.97198288958703</v>
      </c>
    </row>
    <row r="46" spans="1:15" x14ac:dyDescent="0.2">
      <c r="A46">
        <v>11.4</v>
      </c>
      <c r="I46">
        <v>11.4</v>
      </c>
      <c r="M46">
        <v>1994.3963998859299</v>
      </c>
      <c r="N46">
        <v>1994.3963998859299</v>
      </c>
      <c r="O46">
        <v>351.59735802279602</v>
      </c>
    </row>
    <row r="47" spans="1:15" x14ac:dyDescent="0.2">
      <c r="A47">
        <v>11.5</v>
      </c>
      <c r="E47">
        <f>M47/$A47</f>
        <v>181.36694462347216</v>
      </c>
      <c r="F47">
        <f>N47/$A47</f>
        <v>181.36694462347216</v>
      </c>
      <c r="G47">
        <f>O47/$A47</f>
        <v>31.733521367497389</v>
      </c>
      <c r="I47">
        <v>11.5</v>
      </c>
      <c r="M47">
        <v>2085.7198631699298</v>
      </c>
      <c r="N47">
        <v>2085.7198631699298</v>
      </c>
      <c r="O47">
        <v>364.93549572621998</v>
      </c>
    </row>
    <row r="48" spans="1:15" x14ac:dyDescent="0.2">
      <c r="A48">
        <v>11.6</v>
      </c>
      <c r="I48">
        <v>11.6</v>
      </c>
      <c r="M48">
        <v>2185.8370132298501</v>
      </c>
      <c r="N48">
        <v>2185.8370132298501</v>
      </c>
      <c r="O48">
        <v>379.08608317824502</v>
      </c>
    </row>
    <row r="49" spans="1:15" x14ac:dyDescent="0.2">
      <c r="A49">
        <v>11.7</v>
      </c>
      <c r="I49">
        <v>11.7</v>
      </c>
      <c r="M49">
        <v>2280.94955087576</v>
      </c>
      <c r="N49">
        <v>2280.94955087576</v>
      </c>
      <c r="O49">
        <v>393.20588527316499</v>
      </c>
    </row>
    <row r="50" spans="1:15" x14ac:dyDescent="0.2">
      <c r="A50">
        <v>11.8</v>
      </c>
      <c r="I50">
        <v>11.8</v>
      </c>
      <c r="M50">
        <v>2381.0081706947199</v>
      </c>
      <c r="N50">
        <v>2381.0081706947199</v>
      </c>
      <c r="O50">
        <v>409.11955330300799</v>
      </c>
    </row>
    <row r="51" spans="1:15" x14ac:dyDescent="0.2">
      <c r="A51">
        <v>11.9</v>
      </c>
      <c r="I51">
        <v>11.9</v>
      </c>
      <c r="M51">
        <v>2489.4225936579101</v>
      </c>
      <c r="N51">
        <v>2489.4225936579101</v>
      </c>
      <c r="O51">
        <v>425.35486881979102</v>
      </c>
    </row>
    <row r="52" spans="1:15" x14ac:dyDescent="0.2">
      <c r="A52">
        <v>12</v>
      </c>
      <c r="E52">
        <f>M52/$A52</f>
        <v>217.62836383193084</v>
      </c>
      <c r="F52">
        <f>N52/$A52</f>
        <v>217.62836383193084</v>
      </c>
      <c r="G52">
        <f>O52/$A52</f>
        <v>36.774848916110585</v>
      </c>
      <c r="I52">
        <v>12</v>
      </c>
      <c r="M52">
        <v>2611.54036598317</v>
      </c>
      <c r="N52">
        <v>2611.54036598317</v>
      </c>
      <c r="O52">
        <v>441.29818699332702</v>
      </c>
    </row>
    <row r="53" spans="1:15" x14ac:dyDescent="0.2">
      <c r="A53">
        <v>12.1</v>
      </c>
      <c r="I53">
        <v>12.1</v>
      </c>
      <c r="M53">
        <v>2733.9785294633298</v>
      </c>
      <c r="N53">
        <v>2733.9785294633298</v>
      </c>
      <c r="O53">
        <v>457.378909302181</v>
      </c>
    </row>
    <row r="54" spans="1:15" x14ac:dyDescent="0.2">
      <c r="A54">
        <v>12.2</v>
      </c>
      <c r="I54">
        <v>12.2</v>
      </c>
      <c r="M54">
        <v>2850.5472367422299</v>
      </c>
      <c r="N54">
        <v>2850.5472367422299</v>
      </c>
      <c r="O54">
        <v>474.69990347340303</v>
      </c>
    </row>
    <row r="55" spans="1:15" x14ac:dyDescent="0.2">
      <c r="A55">
        <v>12.3</v>
      </c>
      <c r="I55">
        <v>12.3</v>
      </c>
      <c r="M55">
        <v>2978.3329728775002</v>
      </c>
      <c r="N55">
        <v>2978.3329728775002</v>
      </c>
      <c r="O55">
        <v>492.72445002805802</v>
      </c>
    </row>
    <row r="56" spans="1:15" x14ac:dyDescent="0.2">
      <c r="A56">
        <v>12.4</v>
      </c>
      <c r="I56">
        <v>12.4</v>
      </c>
      <c r="M56">
        <v>3115.23077191218</v>
      </c>
      <c r="N56">
        <v>3115.23077191218</v>
      </c>
      <c r="O56">
        <v>510.40990108507202</v>
      </c>
    </row>
    <row r="57" spans="1:15" x14ac:dyDescent="0.2">
      <c r="A57">
        <v>12.5</v>
      </c>
      <c r="E57">
        <f>M57/$A57</f>
        <v>259.5972255544192</v>
      </c>
      <c r="F57">
        <f>N57/$A57</f>
        <v>259.5972255544192</v>
      </c>
      <c r="G57">
        <f>O57/$A57</f>
        <v>42.392750155264324</v>
      </c>
      <c r="I57">
        <v>12.5</v>
      </c>
      <c r="M57">
        <v>3244.96531943024</v>
      </c>
      <c r="N57">
        <v>3244.96531943024</v>
      </c>
      <c r="O57">
        <v>529.90937694080401</v>
      </c>
    </row>
    <row r="58" spans="1:15" x14ac:dyDescent="0.2">
      <c r="A58">
        <v>12.6</v>
      </c>
      <c r="I58">
        <v>12.6</v>
      </c>
      <c r="M58">
        <v>3393.3354918129598</v>
      </c>
      <c r="N58">
        <v>3393.3354918129598</v>
      </c>
      <c r="O58">
        <v>549.66216272810198</v>
      </c>
    </row>
    <row r="59" spans="1:15" x14ac:dyDescent="0.2">
      <c r="A59">
        <v>12.7</v>
      </c>
      <c r="I59">
        <v>12.7</v>
      </c>
      <c r="M59">
        <v>3537.5655313076099</v>
      </c>
      <c r="N59">
        <v>3537.5655313076099</v>
      </c>
      <c r="O59">
        <v>569.96652294042599</v>
      </c>
    </row>
    <row r="60" spans="1:15" x14ac:dyDescent="0.2">
      <c r="A60">
        <v>12.8</v>
      </c>
      <c r="I60">
        <v>12.8</v>
      </c>
      <c r="M60">
        <v>3678.6438354009401</v>
      </c>
      <c r="N60">
        <v>3678.6438354009401</v>
      </c>
      <c r="O60">
        <v>590.38217469239601</v>
      </c>
    </row>
    <row r="61" spans="1:15" x14ac:dyDescent="0.2">
      <c r="A61">
        <v>12.9</v>
      </c>
      <c r="I61">
        <v>12.9</v>
      </c>
      <c r="M61">
        <v>3814.8201389473802</v>
      </c>
      <c r="N61">
        <v>3814.8201389473802</v>
      </c>
      <c r="O61">
        <v>610.52425052295098</v>
      </c>
    </row>
    <row r="62" spans="1:15" x14ac:dyDescent="0.2">
      <c r="A62">
        <v>13</v>
      </c>
      <c r="E62">
        <f>M62/$A62</f>
        <v>304.58463158646077</v>
      </c>
      <c r="F62">
        <f>N62/$A62</f>
        <v>304.58463158646077</v>
      </c>
      <c r="G62">
        <f>O62/$A62</f>
        <v>48.681649982637154</v>
      </c>
      <c r="I62">
        <v>13</v>
      </c>
      <c r="M62">
        <v>3959.6002106239898</v>
      </c>
      <c r="N62">
        <v>3959.6002106239898</v>
      </c>
      <c r="O62">
        <v>632.86144977428296</v>
      </c>
    </row>
    <row r="63" spans="1:15" x14ac:dyDescent="0.2">
      <c r="A63">
        <v>13.1</v>
      </c>
      <c r="I63">
        <v>13.1</v>
      </c>
      <c r="M63">
        <v>4118.6452270628097</v>
      </c>
      <c r="N63">
        <v>4118.6452270628097</v>
      </c>
      <c r="O63">
        <v>655.55789450507996</v>
      </c>
    </row>
    <row r="64" spans="1:15" x14ac:dyDescent="0.2">
      <c r="A64">
        <v>13.2</v>
      </c>
      <c r="I64">
        <v>13.2</v>
      </c>
      <c r="M64">
        <v>4270.8210225500497</v>
      </c>
      <c r="N64">
        <v>4270.8210225500497</v>
      </c>
      <c r="O64">
        <v>679.93223191318202</v>
      </c>
    </row>
    <row r="65" spans="1:27" x14ac:dyDescent="0.2">
      <c r="A65">
        <v>13.3</v>
      </c>
      <c r="I65">
        <v>13.3</v>
      </c>
      <c r="M65">
        <v>4415.0108657197998</v>
      </c>
      <c r="N65">
        <v>4415.0108657197998</v>
      </c>
      <c r="O65">
        <v>703.32089041464906</v>
      </c>
    </row>
    <row r="66" spans="1:27" x14ac:dyDescent="0.2">
      <c r="A66">
        <v>13.4</v>
      </c>
      <c r="I66">
        <v>13.4</v>
      </c>
      <c r="M66">
        <v>4561.3130857214301</v>
      </c>
      <c r="N66">
        <v>4561.3130857214301</v>
      </c>
      <c r="O66">
        <v>728.21769670432104</v>
      </c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>
        <v>13.5</v>
      </c>
      <c r="E67">
        <f>M67/$A67</f>
        <v>349.6157084835163</v>
      </c>
      <c r="F67">
        <f>N67/$A67</f>
        <v>349.6157084835163</v>
      </c>
      <c r="G67">
        <f>O67/$A67</f>
        <v>55.79165120010407</v>
      </c>
      <c r="I67">
        <v>13.5</v>
      </c>
      <c r="M67">
        <v>4719.8120645274703</v>
      </c>
      <c r="N67">
        <v>4719.8120645274703</v>
      </c>
      <c r="O67">
        <v>753.18729120140495</v>
      </c>
    </row>
    <row r="68" spans="1:27" x14ac:dyDescent="0.2">
      <c r="A68">
        <v>13.6</v>
      </c>
      <c r="I68">
        <v>13.6</v>
      </c>
      <c r="M68">
        <v>4875.0503853645196</v>
      </c>
      <c r="N68">
        <v>4875.0503853645196</v>
      </c>
      <c r="O68">
        <v>778.56051495431097</v>
      </c>
    </row>
    <row r="69" spans="1:27" x14ac:dyDescent="0.2">
      <c r="A69">
        <v>13.7</v>
      </c>
      <c r="E69">
        <f>M69/$A69</f>
        <v>367.42321424625771</v>
      </c>
      <c r="F69">
        <f>N69/$A69</f>
        <v>367.42321424625771</v>
      </c>
      <c r="I69">
        <v>13.7</v>
      </c>
      <c r="M69">
        <v>5033.6980351737302</v>
      </c>
      <c r="N69">
        <v>5033.6980351737302</v>
      </c>
      <c r="O69">
        <v>805.31241187338503</v>
      </c>
    </row>
    <row r="70" spans="1:27" x14ac:dyDescent="0.2">
      <c r="A70">
        <v>13.8</v>
      </c>
      <c r="I70">
        <v>13.8</v>
      </c>
      <c r="M70">
        <v>5177.93377866229</v>
      </c>
      <c r="N70">
        <v>5177.93377866229</v>
      </c>
      <c r="O70">
        <v>833.89545368187203</v>
      </c>
    </row>
    <row r="71" spans="1:27" x14ac:dyDescent="0.2">
      <c r="A71">
        <v>13.9</v>
      </c>
      <c r="E71">
        <f>M71/$A71</f>
        <v>383.89911090182807</v>
      </c>
      <c r="F71">
        <f>N71/$A71</f>
        <v>383.89911090182807</v>
      </c>
      <c r="G71">
        <f>O71/$A71</f>
        <v>62.097666395271503</v>
      </c>
      <c r="I71">
        <v>13.9</v>
      </c>
      <c r="M71">
        <v>5336.1976415354102</v>
      </c>
      <c r="N71">
        <v>5336.1976415354102</v>
      </c>
      <c r="O71">
        <v>863.15756289427395</v>
      </c>
    </row>
    <row r="72" spans="1:27" x14ac:dyDescent="0.2">
      <c r="A72">
        <v>14</v>
      </c>
      <c r="I72">
        <v>14</v>
      </c>
      <c r="O72">
        <v>894.63615136126998</v>
      </c>
    </row>
    <row r="73" spans="1:27" x14ac:dyDescent="0.2">
      <c r="A73">
        <v>14.1</v>
      </c>
      <c r="I73">
        <v>14.1</v>
      </c>
      <c r="O73">
        <v>926.06656055380995</v>
      </c>
    </row>
    <row r="74" spans="1:27" x14ac:dyDescent="0.2">
      <c r="A74">
        <v>14.2</v>
      </c>
      <c r="I74">
        <v>14.2</v>
      </c>
      <c r="O74">
        <v>959.00855524628696</v>
      </c>
    </row>
    <row r="75" spans="1:27" x14ac:dyDescent="0.2">
      <c r="A75">
        <v>14.3</v>
      </c>
      <c r="I75">
        <v>14.3</v>
      </c>
      <c r="O75">
        <v>993.23619086598296</v>
      </c>
    </row>
    <row r="76" spans="1:27" x14ac:dyDescent="0.2">
      <c r="A76">
        <v>14.4</v>
      </c>
      <c r="I76">
        <v>14.4</v>
      </c>
      <c r="O76">
        <v>1027.0398288863701</v>
      </c>
    </row>
    <row r="77" spans="1:27" x14ac:dyDescent="0.2">
      <c r="A77">
        <v>14.5</v>
      </c>
      <c r="G77">
        <f>O77/$A77</f>
        <v>73.459237306357238</v>
      </c>
      <c r="I77">
        <v>14.5</v>
      </c>
      <c r="O77">
        <v>1065.1589409421799</v>
      </c>
    </row>
    <row r="78" spans="1:27" x14ac:dyDescent="0.2">
      <c r="A78">
        <v>14.6</v>
      </c>
      <c r="I78">
        <v>14.6</v>
      </c>
      <c r="O78">
        <v>1105.01784219759</v>
      </c>
    </row>
    <row r="79" spans="1:27" x14ac:dyDescent="0.2">
      <c r="A79">
        <v>14.7</v>
      </c>
      <c r="I79">
        <v>14.7</v>
      </c>
      <c r="O79">
        <v>1147.26616484289</v>
      </c>
    </row>
    <row r="80" spans="1:27" x14ac:dyDescent="0.2">
      <c r="A80">
        <v>14.8</v>
      </c>
      <c r="I80">
        <v>14.8</v>
      </c>
      <c r="O80">
        <v>1191.4319735054701</v>
      </c>
    </row>
    <row r="81" spans="1:15" x14ac:dyDescent="0.2">
      <c r="A81">
        <v>14.9</v>
      </c>
      <c r="I81">
        <v>14.9</v>
      </c>
      <c r="O81">
        <v>1237.2468399865299</v>
      </c>
    </row>
    <row r="82" spans="1:15" x14ac:dyDescent="0.2">
      <c r="A82">
        <v>15</v>
      </c>
      <c r="G82">
        <f>O82/$A82</f>
        <v>85.514202674962007</v>
      </c>
      <c r="I82">
        <v>15</v>
      </c>
      <c r="O82">
        <v>1282.7130401244301</v>
      </c>
    </row>
    <row r="83" spans="1:15" x14ac:dyDescent="0.2">
      <c r="A83">
        <v>15.1</v>
      </c>
      <c r="I83">
        <v>15.1</v>
      </c>
      <c r="O83">
        <v>1334.1348270948599</v>
      </c>
    </row>
    <row r="84" spans="1:15" x14ac:dyDescent="0.2">
      <c r="A84">
        <v>15.2</v>
      </c>
      <c r="I84">
        <v>15.2</v>
      </c>
      <c r="O84">
        <v>1389.07970895579</v>
      </c>
    </row>
    <row r="85" spans="1:15" x14ac:dyDescent="0.2">
      <c r="A85">
        <v>15.3</v>
      </c>
      <c r="I85">
        <v>15.3</v>
      </c>
      <c r="O85">
        <v>1449.8327146511399</v>
      </c>
    </row>
    <row r="86" spans="1:15" x14ac:dyDescent="0.2">
      <c r="A86">
        <v>15.4</v>
      </c>
      <c r="I86">
        <v>15.4</v>
      </c>
      <c r="O86">
        <v>1514.50153729115</v>
      </c>
    </row>
    <row r="87" spans="1:15" x14ac:dyDescent="0.2">
      <c r="A87">
        <v>15.5</v>
      </c>
      <c r="G87">
        <f>O87/$A87</f>
        <v>102.52375650110258</v>
      </c>
      <c r="I87">
        <v>15.5</v>
      </c>
      <c r="O87">
        <v>1589.1182257670901</v>
      </c>
    </row>
    <row r="88" spans="1:15" x14ac:dyDescent="0.2">
      <c r="A88">
        <v>15.6</v>
      </c>
      <c r="I88">
        <v>15.6</v>
      </c>
      <c r="O88">
        <v>1672.1166541392399</v>
      </c>
    </row>
    <row r="89" spans="1:15" x14ac:dyDescent="0.2">
      <c r="A89">
        <v>15.7</v>
      </c>
      <c r="I89">
        <v>15.7</v>
      </c>
      <c r="O89">
        <v>1757.8317455557401</v>
      </c>
    </row>
    <row r="90" spans="1:15" x14ac:dyDescent="0.2">
      <c r="A90">
        <v>15.8</v>
      </c>
      <c r="I90">
        <v>15.8</v>
      </c>
      <c r="O90">
        <v>1860.4185443076699</v>
      </c>
    </row>
    <row r="91" spans="1:15" x14ac:dyDescent="0.2">
      <c r="A91">
        <v>15.9</v>
      </c>
      <c r="I91">
        <v>15.9</v>
      </c>
      <c r="O91">
        <v>1992.13985507646</v>
      </c>
    </row>
    <row r="92" spans="1:15" x14ac:dyDescent="0.2">
      <c r="A92">
        <v>16</v>
      </c>
      <c r="G92">
        <f>O92/$A92</f>
        <v>133.97018108372188</v>
      </c>
      <c r="I92">
        <v>16</v>
      </c>
      <c r="O92">
        <v>2143.5228973395501</v>
      </c>
    </row>
    <row r="93" spans="1:15" x14ac:dyDescent="0.2">
      <c r="A93">
        <v>16.100000000000001</v>
      </c>
      <c r="I93">
        <v>16.100000000000001</v>
      </c>
      <c r="O93">
        <v>2296.7873949764999</v>
      </c>
    </row>
    <row r="94" spans="1:15" x14ac:dyDescent="0.2">
      <c r="A94">
        <v>16.2</v>
      </c>
      <c r="I94">
        <v>16.2</v>
      </c>
      <c r="O94">
        <v>2454.5058443777398</v>
      </c>
    </row>
    <row r="95" spans="1:15" x14ac:dyDescent="0.2">
      <c r="A95">
        <v>16.3</v>
      </c>
      <c r="I95">
        <v>16.3</v>
      </c>
      <c r="O95">
        <v>2683.27877008313</v>
      </c>
    </row>
    <row r="96" spans="1:15" x14ac:dyDescent="0.2">
      <c r="A96">
        <v>16.399999999999999</v>
      </c>
      <c r="I96">
        <v>16.399999999999999</v>
      </c>
      <c r="O96">
        <v>2981.7160244639199</v>
      </c>
    </row>
    <row r="97" spans="1:15" x14ac:dyDescent="0.2">
      <c r="A97">
        <v>16.5</v>
      </c>
      <c r="G97">
        <f>O97/$A97</f>
        <v>199.0090316764703</v>
      </c>
      <c r="I97">
        <v>16.5</v>
      </c>
      <c r="O97">
        <v>3283.6490226617598</v>
      </c>
    </row>
    <row r="98" spans="1:15" x14ac:dyDescent="0.2">
      <c r="A98">
        <v>16.600000000000001</v>
      </c>
      <c r="I98">
        <v>16.600000000000001</v>
      </c>
      <c r="O98">
        <v>3580.9242959130302</v>
      </c>
    </row>
    <row r="99" spans="1:15" x14ac:dyDescent="0.2">
      <c r="A99">
        <v>16.7</v>
      </c>
      <c r="I99">
        <v>16.7</v>
      </c>
      <c r="O99">
        <v>3874.5636219117901</v>
      </c>
    </row>
    <row r="100" spans="1:15" x14ac:dyDescent="0.2">
      <c r="A100">
        <v>16.8</v>
      </c>
      <c r="I100">
        <v>16.8</v>
      </c>
      <c r="O100" s="2">
        <v>4165.2545390084597</v>
      </c>
    </row>
    <row r="101" spans="1:15" x14ac:dyDescent="0.2">
      <c r="A101">
        <v>16.899999999999999</v>
      </c>
      <c r="G101">
        <f>O101/$A101</f>
        <v>263.32665485053673</v>
      </c>
      <c r="I101">
        <v>16.899999999999999</v>
      </c>
      <c r="O101">
        <v>4450.2204669740704</v>
      </c>
    </row>
    <row r="102" spans="1:15" x14ac:dyDescent="0.2">
      <c r="A102">
        <v>17</v>
      </c>
      <c r="I102">
        <v>17</v>
      </c>
      <c r="O102">
        <v>4726.9134692874804</v>
      </c>
    </row>
    <row r="103" spans="1:15" x14ac:dyDescent="0.2">
      <c r="A103">
        <v>17.100000000000001</v>
      </c>
      <c r="G103">
        <f>O103/$A103</f>
        <v>292.65752356060233</v>
      </c>
      <c r="I103">
        <v>17.100000000000001</v>
      </c>
      <c r="O103">
        <v>5004.4436528862998</v>
      </c>
    </row>
    <row r="104" spans="1:15" x14ac:dyDescent="0.2">
      <c r="A104">
        <v>17.2</v>
      </c>
      <c r="I104">
        <v>17.2</v>
      </c>
      <c r="O104">
        <v>5271.1617621634196</v>
      </c>
    </row>
    <row r="105" spans="1:15" x14ac:dyDescent="0.2">
      <c r="A105">
        <v>17.3</v>
      </c>
      <c r="G105">
        <f>O105/$A105</f>
        <v>319.96512020955487</v>
      </c>
      <c r="I105">
        <v>17.3</v>
      </c>
      <c r="O105">
        <v>5535.3965796252996</v>
      </c>
    </row>
    <row r="168" spans="20:26" x14ac:dyDescent="0.2">
      <c r="T168" s="2"/>
      <c r="U168" s="2"/>
      <c r="V168" s="2"/>
      <c r="W168" s="2"/>
      <c r="X168" s="2"/>
      <c r="Y168" s="2"/>
      <c r="Z16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EF0D-73D0-1245-A3CE-919B2CF2C8EF}">
  <dimension ref="A1:AF59"/>
  <sheetViews>
    <sheetView zoomScale="81" workbookViewId="0">
      <selection activeCell="N7" sqref="N7"/>
    </sheetView>
  </sheetViews>
  <sheetFormatPr baseColWidth="10" defaultRowHeight="16" x14ac:dyDescent="0.2"/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21</v>
      </c>
      <c r="F1" t="s">
        <v>23</v>
      </c>
      <c r="G1" t="s">
        <v>26</v>
      </c>
      <c r="J1" s="1" t="s">
        <v>0</v>
      </c>
      <c r="K1" t="s">
        <v>1</v>
      </c>
      <c r="L1" t="s">
        <v>2</v>
      </c>
      <c r="M1" t="s">
        <v>3</v>
      </c>
      <c r="N1" t="s">
        <v>21</v>
      </c>
      <c r="O1" t="s">
        <v>23</v>
      </c>
      <c r="P1" t="s">
        <v>24</v>
      </c>
    </row>
    <row r="2" spans="1:16" x14ac:dyDescent="0.2">
      <c r="A2">
        <v>2</v>
      </c>
      <c r="B2">
        <f>K2/$A2</f>
        <v>17.920311818516652</v>
      </c>
      <c r="C2">
        <f>L2/$A2</f>
        <v>5.9841608545379996</v>
      </c>
      <c r="D2">
        <f>M2/$A2</f>
        <v>8.4781266688522496</v>
      </c>
      <c r="E2">
        <f>N2/$A2</f>
        <v>14.402951485535249</v>
      </c>
      <c r="F2">
        <f>O2/$A2</f>
        <v>4.7423181745523451</v>
      </c>
      <c r="G2">
        <f>P2/$A2</f>
        <v>4.7423181745523451</v>
      </c>
      <c r="J2">
        <v>2</v>
      </c>
      <c r="K2">
        <v>35.840623637033303</v>
      </c>
      <c r="L2">
        <v>11.968321709075999</v>
      </c>
      <c r="M2">
        <v>16.956253337704499</v>
      </c>
      <c r="N2">
        <v>28.805902971070498</v>
      </c>
      <c r="O2">
        <v>9.4846363491046901</v>
      </c>
      <c r="P2">
        <v>9.4846363491046901</v>
      </c>
    </row>
    <row r="3" spans="1:16" x14ac:dyDescent="0.2">
      <c r="A3">
        <v>2.0099999999999998</v>
      </c>
      <c r="B3">
        <f>K3/$A3</f>
        <v>21.702626137792937</v>
      </c>
      <c r="C3">
        <f>L3/$A3</f>
        <v>6.2446437362112936</v>
      </c>
      <c r="D3">
        <f>M3/$A3</f>
        <v>9.0708254524380099</v>
      </c>
      <c r="E3">
        <f>N3/$A3</f>
        <v>16.885843404646419</v>
      </c>
      <c r="F3">
        <f>O3/$A3</f>
        <v>4.9045696692774925</v>
      </c>
      <c r="G3">
        <f>P3/$A3</f>
        <v>4.9045696692774925</v>
      </c>
      <c r="J3">
        <v>2.0099999999999998</v>
      </c>
      <c r="K3">
        <v>43.622278536963798</v>
      </c>
      <c r="L3">
        <v>12.5517339097847</v>
      </c>
      <c r="M3">
        <v>18.232359159400399</v>
      </c>
      <c r="N3">
        <v>33.940545243339301</v>
      </c>
      <c r="O3">
        <v>9.8581850352477591</v>
      </c>
      <c r="P3">
        <v>9.8581850352477591</v>
      </c>
    </row>
    <row r="4" spans="1:16" x14ac:dyDescent="0.2">
      <c r="A4">
        <v>2.02</v>
      </c>
      <c r="B4">
        <f>K4/$A4</f>
        <v>27.812435224282524</v>
      </c>
      <c r="C4">
        <f>L4/$A4</f>
        <v>6.5330534250749999</v>
      </c>
      <c r="D4">
        <f>M4/$A4</f>
        <v>9.7728835520867818</v>
      </c>
      <c r="E4">
        <f>N4/$A4</f>
        <v>20.659368532502128</v>
      </c>
      <c r="F4">
        <f>O4/$A4</f>
        <v>5.0776291125096034</v>
      </c>
      <c r="G4">
        <f>P4/$A4</f>
        <v>5.0776291125096034</v>
      </c>
      <c r="J4">
        <v>2.02</v>
      </c>
      <c r="K4">
        <v>56.181119153050702</v>
      </c>
      <c r="L4">
        <v>13.196767918651499</v>
      </c>
      <c r="M4">
        <v>19.741224775215301</v>
      </c>
      <c r="N4">
        <v>41.7319244356543</v>
      </c>
      <c r="O4">
        <v>10.2568108072694</v>
      </c>
      <c r="P4">
        <v>10.2568108072694</v>
      </c>
    </row>
    <row r="5" spans="1:16" x14ac:dyDescent="0.2">
      <c r="A5">
        <v>2.0299999999999998</v>
      </c>
      <c r="B5">
        <f>K5/$A5</f>
        <v>38.095017625107644</v>
      </c>
      <c r="C5">
        <f>L5/$A5</f>
        <v>6.8473696006753704</v>
      </c>
      <c r="D5">
        <f>M5/$A5</f>
        <v>10.538989527490937</v>
      </c>
      <c r="E5">
        <f>N5/$A5</f>
        <v>26.821567130542071</v>
      </c>
      <c r="F5">
        <f>O5/$A5</f>
        <v>5.2606820552240396</v>
      </c>
      <c r="G5">
        <f>P5/$A5</f>
        <v>5.2606820552240396</v>
      </c>
      <c r="J5">
        <v>2.0299999999999998</v>
      </c>
      <c r="K5">
        <v>77.332885778968503</v>
      </c>
      <c r="L5">
        <v>13.900160289371</v>
      </c>
      <c r="M5">
        <v>21.3941487408066</v>
      </c>
      <c r="N5">
        <v>54.447781275000402</v>
      </c>
      <c r="O5">
        <v>10.6791845721048</v>
      </c>
      <c r="P5">
        <v>10.6791845721048</v>
      </c>
    </row>
    <row r="6" spans="1:16" x14ac:dyDescent="0.2">
      <c r="A6">
        <v>2.04</v>
      </c>
      <c r="B6">
        <f>K6/$A6</f>
        <v>60.246205171214214</v>
      </c>
      <c r="C6">
        <f>L6/$A6</f>
        <v>7.1922634758490682</v>
      </c>
      <c r="D6">
        <f>M6/$A6</f>
        <v>11.456202413381618</v>
      </c>
      <c r="E6">
        <f>N6/$A6</f>
        <v>36.762185089598042</v>
      </c>
      <c r="F6">
        <f>O6/$A6</f>
        <v>5.4595087100637745</v>
      </c>
      <c r="G6">
        <f>P6/$A6</f>
        <v>5.4595087100637745</v>
      </c>
      <c r="J6">
        <v>2.04</v>
      </c>
      <c r="K6">
        <v>122.90225854927699</v>
      </c>
      <c r="L6">
        <v>14.6722174907321</v>
      </c>
      <c r="M6">
        <v>23.370652923298501</v>
      </c>
      <c r="N6">
        <v>74.99485758278</v>
      </c>
      <c r="O6">
        <v>11.1373977685301</v>
      </c>
      <c r="P6">
        <v>11.1373977685301</v>
      </c>
    </row>
    <row r="7" spans="1:16" x14ac:dyDescent="0.2">
      <c r="A7">
        <v>2.0499999999999998</v>
      </c>
      <c r="B7">
        <f>K7/$A7</f>
        <v>144.22833218529416</v>
      </c>
      <c r="C7">
        <f>L7/$A7</f>
        <v>7.5765023721436595</v>
      </c>
      <c r="D7">
        <f>M7/$A7</f>
        <v>12.539583066951758</v>
      </c>
      <c r="E7">
        <f>N7/$A7</f>
        <v>59.378804450825861</v>
      </c>
      <c r="F7">
        <f>O7/$A7</f>
        <v>5.6693279570596102</v>
      </c>
      <c r="G7">
        <f>P7/$A7</f>
        <v>5.6693279570596102</v>
      </c>
      <c r="J7">
        <v>2.0499999999999998</v>
      </c>
      <c r="K7">
        <v>295.66808097985302</v>
      </c>
      <c r="L7">
        <v>15.531829862894501</v>
      </c>
      <c r="M7">
        <v>25.7061452872511</v>
      </c>
      <c r="N7">
        <v>121.726549124193</v>
      </c>
      <c r="O7">
        <v>11.6221223119722</v>
      </c>
      <c r="P7">
        <v>11.6221223119722</v>
      </c>
    </row>
    <row r="8" spans="1:16" x14ac:dyDescent="0.2">
      <c r="A8">
        <v>2.06</v>
      </c>
      <c r="B8">
        <f>K8/$A8</f>
        <v>543.32786509335926</v>
      </c>
      <c r="C8">
        <f>L8/$A8</f>
        <v>7.9991241022833011</v>
      </c>
      <c r="D8">
        <f>M8/$A8</f>
        <v>13.81470864373</v>
      </c>
      <c r="E8">
        <f>N8/$A8</f>
        <v>148.81709277777136</v>
      </c>
      <c r="F8">
        <f>O8/$A8</f>
        <v>5.8970747688514562</v>
      </c>
      <c r="G8">
        <f>P8/$A8</f>
        <v>5.8970747688514562</v>
      </c>
      <c r="J8">
        <v>2.06</v>
      </c>
      <c r="K8">
        <v>1119.2554020923201</v>
      </c>
      <c r="L8">
        <v>16.478195650703601</v>
      </c>
      <c r="M8">
        <v>28.458299806083801</v>
      </c>
      <c r="N8">
        <v>306.563211122209</v>
      </c>
      <c r="O8">
        <v>12.147974023833999</v>
      </c>
      <c r="P8">
        <v>12.147974023833999</v>
      </c>
    </row>
    <row r="9" spans="1:16" x14ac:dyDescent="0.2">
      <c r="A9">
        <v>2.0699999999999998</v>
      </c>
      <c r="C9">
        <f>L9/$A9</f>
        <v>8.465182514092561</v>
      </c>
      <c r="D9">
        <f>M9/$A9</f>
        <v>15.349204072681161</v>
      </c>
      <c r="E9">
        <f>N9/$A9</f>
        <v>482.37616303866571</v>
      </c>
      <c r="F9">
        <f>O9/$A9</f>
        <v>6.1427414193762324</v>
      </c>
      <c r="G9">
        <f>P9/$A9</f>
        <v>6.1427414193762324</v>
      </c>
      <c r="J9">
        <v>2.0699999999999998</v>
      </c>
      <c r="L9">
        <v>17.522927804171601</v>
      </c>
      <c r="M9">
        <v>31.772852430450001</v>
      </c>
      <c r="N9">
        <v>998.51865749003798</v>
      </c>
      <c r="O9">
        <v>12.715474738108799</v>
      </c>
      <c r="P9">
        <v>12.715474738108799</v>
      </c>
    </row>
    <row r="10" spans="1:16" x14ac:dyDescent="0.2">
      <c r="A10">
        <v>2.08</v>
      </c>
      <c r="C10">
        <f>L10/$A10</f>
        <v>8.9940355213682679</v>
      </c>
      <c r="D10">
        <f>M10/$A10</f>
        <v>17.243692173296008</v>
      </c>
      <c r="E10">
        <f>N10/$A10</f>
        <v>979.12665365516352</v>
      </c>
      <c r="F10">
        <f>O10/$A10</f>
        <v>6.4091467143212979</v>
      </c>
      <c r="G10">
        <f>P10/$A10</f>
        <v>6.4091467143212979</v>
      </c>
      <c r="J10">
        <v>2.08</v>
      </c>
      <c r="L10">
        <v>18.707593884445998</v>
      </c>
      <c r="M10">
        <v>35.866879720455699</v>
      </c>
      <c r="N10">
        <v>2036.5834396027401</v>
      </c>
      <c r="O10">
        <v>13.331025165788301</v>
      </c>
      <c r="P10">
        <v>13.331025165788301</v>
      </c>
    </row>
    <row r="11" spans="1:16" x14ac:dyDescent="0.2">
      <c r="A11">
        <v>2.09</v>
      </c>
      <c r="C11">
        <f>L11/$A11</f>
        <v>9.5851020543119638</v>
      </c>
      <c r="D11">
        <f>M11/$A11</f>
        <v>19.695431262827274</v>
      </c>
      <c r="F11">
        <f>O11/$A11</f>
        <v>6.6960063849815796</v>
      </c>
      <c r="G11">
        <f>P11/$A11</f>
        <v>6.6960063849815796</v>
      </c>
      <c r="J11">
        <v>2.09</v>
      </c>
      <c r="L11">
        <v>20.032863293512001</v>
      </c>
      <c r="M11">
        <v>41.163451339308999</v>
      </c>
      <c r="N11">
        <v>4224.4493313078401</v>
      </c>
      <c r="O11">
        <v>13.9946533446115</v>
      </c>
      <c r="P11">
        <v>13.9946533446115</v>
      </c>
    </row>
    <row r="12" spans="1:16" x14ac:dyDescent="0.2">
      <c r="A12">
        <v>2.1</v>
      </c>
      <c r="C12">
        <f>L12/$A12</f>
        <v>10.257408169315761</v>
      </c>
      <c r="D12">
        <f>M12/$A12</f>
        <v>23.266101569594142</v>
      </c>
      <c r="F12">
        <f>O12/$A12</f>
        <v>7.0166794944350475</v>
      </c>
      <c r="G12">
        <f>P12/$A12</f>
        <v>7.0166794944350475</v>
      </c>
      <c r="J12">
        <v>2.1</v>
      </c>
      <c r="L12">
        <v>21.5405571555631</v>
      </c>
      <c r="M12">
        <v>48.858813296147702</v>
      </c>
      <c r="O12">
        <v>14.735026938313601</v>
      </c>
      <c r="P12">
        <v>14.735026938313601</v>
      </c>
    </row>
    <row r="13" spans="1:16" x14ac:dyDescent="0.2">
      <c r="A13">
        <v>2.11</v>
      </c>
      <c r="C13">
        <f>L13/$A13</f>
        <v>11.014995706627346</v>
      </c>
      <c r="D13">
        <f>M13/$A13</f>
        <v>27.773812860366444</v>
      </c>
      <c r="F13">
        <f>O13/$A13</f>
        <v>7.3677737878745502</v>
      </c>
      <c r="G13">
        <f>P13/$A13</f>
        <v>7.3677737878745502</v>
      </c>
      <c r="J13">
        <v>2.11</v>
      </c>
      <c r="L13">
        <v>23.2416409409837</v>
      </c>
      <c r="M13">
        <v>58.602745135373198</v>
      </c>
      <c r="O13">
        <v>15.5460026924153</v>
      </c>
      <c r="P13">
        <v>15.5460026924153</v>
      </c>
    </row>
    <row r="14" spans="1:16" x14ac:dyDescent="0.2">
      <c r="A14">
        <v>2.12</v>
      </c>
      <c r="C14">
        <f>L14/$A14</f>
        <v>11.89391271920033</v>
      </c>
      <c r="D14">
        <f>M14/$A14</f>
        <v>35.089437571042403</v>
      </c>
      <c r="F14">
        <f>O14/$A14</f>
        <v>7.7524750224333019</v>
      </c>
      <c r="G14">
        <f>P14/$A14</f>
        <v>7.7524750224333019</v>
      </c>
      <c r="J14">
        <v>2.12</v>
      </c>
      <c r="L14">
        <v>25.215094964704701</v>
      </c>
      <c r="M14">
        <v>74.389607650609904</v>
      </c>
      <c r="O14">
        <v>16.435247047558601</v>
      </c>
      <c r="P14">
        <v>16.435247047558601</v>
      </c>
    </row>
    <row r="15" spans="1:16" x14ac:dyDescent="0.2">
      <c r="A15">
        <v>2.13</v>
      </c>
      <c r="C15">
        <f>L15/$A15</f>
        <v>12.903980310902488</v>
      </c>
      <c r="D15">
        <f>M15/$A15</f>
        <v>46.399577090909773</v>
      </c>
      <c r="F15">
        <f>O15/$A15</f>
        <v>8.1866159817193438</v>
      </c>
      <c r="G15">
        <f>P15/$A15</f>
        <v>8.1866159817193438</v>
      </c>
      <c r="J15">
        <v>2.13</v>
      </c>
      <c r="L15">
        <v>27.485478062222299</v>
      </c>
      <c r="M15">
        <v>98.831099203637805</v>
      </c>
      <c r="O15">
        <v>17.4374920410622</v>
      </c>
      <c r="P15">
        <v>17.4374920410622</v>
      </c>
    </row>
    <row r="16" spans="1:16" x14ac:dyDescent="0.2">
      <c r="A16">
        <v>2.14</v>
      </c>
      <c r="C16">
        <f>L16/$A16</f>
        <v>14.094457914646728</v>
      </c>
      <c r="D16">
        <f>M16/$A16</f>
        <v>68.059699443381305</v>
      </c>
      <c r="F16">
        <f>O16/$A16</f>
        <v>8.6695079758856064</v>
      </c>
      <c r="G16">
        <f>P16/$A16</f>
        <v>8.6695079758856064</v>
      </c>
      <c r="J16">
        <v>2.14</v>
      </c>
      <c r="L16">
        <v>30.162139937344001</v>
      </c>
      <c r="M16">
        <v>145.64775680883599</v>
      </c>
      <c r="O16">
        <v>18.552747068395199</v>
      </c>
      <c r="P16">
        <v>18.552747068395199</v>
      </c>
    </row>
    <row r="17" spans="1:16" x14ac:dyDescent="0.2">
      <c r="A17">
        <v>2.15</v>
      </c>
      <c r="C17">
        <f>L17/$A17</f>
        <v>15.512746754060418</v>
      </c>
      <c r="D17">
        <f>M17/$A17</f>
        <v>123.25667108403397</v>
      </c>
      <c r="F17">
        <f>O17/$A17</f>
        <v>9.2112687304007448</v>
      </c>
      <c r="G17">
        <f>P17/$A17</f>
        <v>9.2112687304007448</v>
      </c>
      <c r="J17">
        <v>2.15</v>
      </c>
      <c r="L17">
        <v>33.352405521229898</v>
      </c>
      <c r="M17">
        <v>265.00184283067301</v>
      </c>
      <c r="O17">
        <v>19.804227770361599</v>
      </c>
      <c r="P17">
        <v>19.804227770361599</v>
      </c>
    </row>
    <row r="18" spans="1:16" x14ac:dyDescent="0.2">
      <c r="A18">
        <v>2.16</v>
      </c>
      <c r="C18">
        <f>L18/$A18</f>
        <v>17.2378344875906</v>
      </c>
      <c r="D18">
        <f>M18/$A18</f>
        <v>429.99187126542773</v>
      </c>
      <c r="F18">
        <f>O18/$A18</f>
        <v>9.8129506268895366</v>
      </c>
      <c r="G18">
        <f>P18/$A18</f>
        <v>9.8129506268895366</v>
      </c>
      <c r="J18">
        <v>2.16</v>
      </c>
      <c r="L18">
        <v>37.2337224931957</v>
      </c>
      <c r="M18">
        <v>928.78244193332398</v>
      </c>
      <c r="O18">
        <v>21.195973354081399</v>
      </c>
      <c r="P18">
        <v>21.195973354081399</v>
      </c>
    </row>
    <row r="19" spans="1:16" x14ac:dyDescent="0.2">
      <c r="A19">
        <v>2.17</v>
      </c>
      <c r="C19">
        <f>L19/$A19</f>
        <v>19.351456703986269</v>
      </c>
      <c r="F19">
        <f>O19/$A19</f>
        <v>10.496700041055115</v>
      </c>
      <c r="G19">
        <f>P19/$A19</f>
        <v>10.496700041055115</v>
      </c>
      <c r="J19">
        <v>2.17</v>
      </c>
      <c r="L19">
        <v>41.992661047650202</v>
      </c>
      <c r="M19">
        <v>2340.5091536270002</v>
      </c>
      <c r="O19">
        <v>22.7778390890896</v>
      </c>
      <c r="P19">
        <v>22.7778390890896</v>
      </c>
    </row>
    <row r="20" spans="1:16" x14ac:dyDescent="0.2">
      <c r="A20">
        <v>2.1800000000000002</v>
      </c>
      <c r="C20">
        <f>L20/$A20</f>
        <v>22.032496062125087</v>
      </c>
      <c r="F20">
        <f>O20/$A20</f>
        <v>11.276207132178484</v>
      </c>
      <c r="G20">
        <f>P20/$A20</f>
        <v>11.276207132178484</v>
      </c>
      <c r="J20">
        <v>2.1800000000000002</v>
      </c>
      <c r="L20">
        <v>48.030841415432697</v>
      </c>
      <c r="O20">
        <v>24.5821315481491</v>
      </c>
      <c r="P20">
        <v>24.5821315481491</v>
      </c>
    </row>
    <row r="21" spans="1:16" x14ac:dyDescent="0.2">
      <c r="A21">
        <v>2.19</v>
      </c>
      <c r="C21">
        <f>L21/$A21</f>
        <v>25.501837016441826</v>
      </c>
      <c r="F21">
        <f>O21/$A21</f>
        <v>12.169860220385434</v>
      </c>
      <c r="G21">
        <f>P21/$A21</f>
        <v>12.169860220385434</v>
      </c>
      <c r="J21">
        <v>2.19</v>
      </c>
      <c r="L21">
        <v>55.849023066007597</v>
      </c>
      <c r="O21">
        <v>26.651993882644099</v>
      </c>
      <c r="P21">
        <v>26.651993882644099</v>
      </c>
    </row>
    <row r="22" spans="1:16" x14ac:dyDescent="0.2">
      <c r="A22">
        <v>2.2000000000000002</v>
      </c>
      <c r="C22">
        <f>L22/$A22</f>
        <v>30.249845302457587</v>
      </c>
      <c r="F22">
        <f>O22/$A22</f>
        <v>13.216998160045998</v>
      </c>
      <c r="G22">
        <f>P22/$A22</f>
        <v>13.216998160045998</v>
      </c>
      <c r="J22">
        <v>2.2000000000000002</v>
      </c>
      <c r="L22">
        <v>66.549659665406693</v>
      </c>
      <c r="O22">
        <v>29.077395952101199</v>
      </c>
      <c r="P22">
        <v>29.077395952101199</v>
      </c>
    </row>
    <row r="23" spans="1:16" x14ac:dyDescent="0.2">
      <c r="A23">
        <v>2.21</v>
      </c>
      <c r="C23">
        <f>L23/$A23</f>
        <v>36.763749356846517</v>
      </c>
      <c r="F23">
        <f>O23/$A23</f>
        <v>14.472045371280135</v>
      </c>
      <c r="G23">
        <f>P23/$A23</f>
        <v>14.472045371280135</v>
      </c>
      <c r="J23">
        <v>2.21</v>
      </c>
      <c r="L23">
        <v>81.247886078630799</v>
      </c>
      <c r="O23">
        <v>31.983220270529099</v>
      </c>
      <c r="P23">
        <v>31.983220270529099</v>
      </c>
    </row>
    <row r="24" spans="1:16" x14ac:dyDescent="0.2">
      <c r="A24">
        <v>2.2200000000000002</v>
      </c>
      <c r="C24">
        <f>L24/$A24</f>
        <v>46.430252235121621</v>
      </c>
      <c r="F24">
        <f>O24/$A24</f>
        <v>16.034296253807071</v>
      </c>
      <c r="G24">
        <f>P24/$A24</f>
        <v>16.034296253807071</v>
      </c>
      <c r="J24">
        <v>2.2200000000000002</v>
      </c>
      <c r="L24">
        <v>103.07515996197</v>
      </c>
      <c r="O24">
        <v>35.596137683451701</v>
      </c>
      <c r="P24">
        <v>35.596137683451701</v>
      </c>
    </row>
    <row r="25" spans="1:16" x14ac:dyDescent="0.2">
      <c r="A25">
        <v>2.23</v>
      </c>
      <c r="C25">
        <f>L25/$A25</f>
        <v>61.429159303978921</v>
      </c>
      <c r="F25">
        <f>O25/$A25</f>
        <v>17.865704291083993</v>
      </c>
      <c r="G25">
        <f>P25/$A25</f>
        <v>17.865704291083993</v>
      </c>
      <c r="J25">
        <v>2.23</v>
      </c>
      <c r="L25">
        <v>136.98702524787299</v>
      </c>
      <c r="O25">
        <v>39.840520569117302</v>
      </c>
      <c r="P25">
        <v>39.840520569117302</v>
      </c>
    </row>
    <row r="26" spans="1:16" x14ac:dyDescent="0.2">
      <c r="A26">
        <v>2.2400000000000002</v>
      </c>
      <c r="C26">
        <f>L26/$A26</f>
        <v>84.326806634983029</v>
      </c>
      <c r="F26">
        <f>O26/$A26</f>
        <v>20.224391104492454</v>
      </c>
      <c r="G26">
        <f>P26/$A26</f>
        <v>20.224391104492454</v>
      </c>
      <c r="J26">
        <v>2.2400000000000002</v>
      </c>
      <c r="L26">
        <v>188.89204686236201</v>
      </c>
      <c r="O26">
        <v>45.302636074063102</v>
      </c>
      <c r="P26">
        <v>45.302636074063102</v>
      </c>
    </row>
    <row r="27" spans="1:16" x14ac:dyDescent="0.2">
      <c r="A27">
        <v>2.25</v>
      </c>
      <c r="C27">
        <f>L27/$A27</f>
        <v>124.27470975442533</v>
      </c>
      <c r="F27">
        <f>O27/$A27</f>
        <v>23.178004291892623</v>
      </c>
      <c r="G27">
        <f>P27/$A27</f>
        <v>23.178004291892623</v>
      </c>
      <c r="J27">
        <v>2.25</v>
      </c>
      <c r="L27">
        <v>279.61809694745699</v>
      </c>
      <c r="O27">
        <v>52.150509656758402</v>
      </c>
      <c r="P27">
        <v>52.150509656758402</v>
      </c>
    </row>
    <row r="28" spans="1:16" x14ac:dyDescent="0.2">
      <c r="A28">
        <v>2.2599999999999998</v>
      </c>
      <c r="C28">
        <f>L28/$A28</f>
        <v>239.45300807189471</v>
      </c>
      <c r="F28">
        <f>O28/$A28</f>
        <v>27.135727049491727</v>
      </c>
      <c r="G28">
        <f>P28/$A28</f>
        <v>27.135727049491727</v>
      </c>
      <c r="J28">
        <v>2.2599999999999998</v>
      </c>
      <c r="L28">
        <v>541.16379824248202</v>
      </c>
      <c r="O28">
        <v>61.326743131851302</v>
      </c>
      <c r="P28">
        <v>61.326743131851302</v>
      </c>
    </row>
    <row r="29" spans="1:16" x14ac:dyDescent="0.2">
      <c r="A29">
        <v>2.27</v>
      </c>
      <c r="C29">
        <f>L29/$A29</f>
        <v>492.11299861018944</v>
      </c>
      <c r="F29">
        <f>O29/$A29</f>
        <v>32.491515826157226</v>
      </c>
      <c r="G29">
        <f>P29/$A29</f>
        <v>32.491515826157226</v>
      </c>
      <c r="J29">
        <v>2.27</v>
      </c>
      <c r="L29">
        <v>1117.0965068451301</v>
      </c>
      <c r="O29">
        <v>73.755740925376898</v>
      </c>
      <c r="P29">
        <v>73.755740925376898</v>
      </c>
    </row>
    <row r="30" spans="1:16" x14ac:dyDescent="0.2">
      <c r="A30">
        <v>2.2799999999999998</v>
      </c>
      <c r="C30">
        <f>L30/$A30</f>
        <v>900.0290467998949</v>
      </c>
      <c r="F30">
        <f>O30/$A30</f>
        <v>40.219536456439478</v>
      </c>
      <c r="G30">
        <f>P30/$A30</f>
        <v>40.219536456439478</v>
      </c>
      <c r="J30">
        <v>2.2799999999999998</v>
      </c>
      <c r="L30">
        <v>2052.0662267037601</v>
      </c>
      <c r="O30">
        <v>91.700543120681999</v>
      </c>
      <c r="P30">
        <v>91.700543120681999</v>
      </c>
    </row>
    <row r="31" spans="1:16" x14ac:dyDescent="0.2">
      <c r="A31">
        <v>2.29</v>
      </c>
      <c r="F31">
        <f>O31/$A31</f>
        <v>50.98988577770087</v>
      </c>
      <c r="G31">
        <f>P31/$A31</f>
        <v>50.98988577770087</v>
      </c>
      <c r="J31">
        <v>2.29</v>
      </c>
      <c r="O31">
        <v>116.766838430935</v>
      </c>
      <c r="P31">
        <v>116.766838430935</v>
      </c>
    </row>
    <row r="32" spans="1:16" x14ac:dyDescent="0.2">
      <c r="A32">
        <v>2.2999999999999998</v>
      </c>
      <c r="F32">
        <f>O32/$A32</f>
        <v>67.00864098872087</v>
      </c>
      <c r="G32">
        <f>P32/$A32</f>
        <v>67.00864098872087</v>
      </c>
      <c r="J32">
        <v>2.2999999999999998</v>
      </c>
      <c r="O32">
        <v>154.11987427405799</v>
      </c>
      <c r="P32">
        <v>154.11987427405799</v>
      </c>
    </row>
    <row r="33" spans="1:16" x14ac:dyDescent="0.2">
      <c r="A33">
        <v>2.31</v>
      </c>
      <c r="F33">
        <f>O33/$A33</f>
        <v>89.869825710797826</v>
      </c>
      <c r="G33">
        <f>P33/$A33</f>
        <v>89.869825710797826</v>
      </c>
      <c r="J33">
        <v>2.31</v>
      </c>
      <c r="O33">
        <v>207.599297391943</v>
      </c>
      <c r="P33">
        <v>207.599297391943</v>
      </c>
    </row>
    <row r="34" spans="1:16" x14ac:dyDescent="0.2">
      <c r="A34">
        <v>2.3199999999999998</v>
      </c>
      <c r="F34">
        <f>O34/$A34</f>
        <v>133.12390512220259</v>
      </c>
      <c r="G34">
        <f>P34/$A34</f>
        <v>133.12390512220259</v>
      </c>
      <c r="J34">
        <v>2.3199999999999998</v>
      </c>
      <c r="O34">
        <v>308.84745988351</v>
      </c>
      <c r="P34">
        <v>308.84745988351</v>
      </c>
    </row>
    <row r="35" spans="1:16" x14ac:dyDescent="0.2">
      <c r="A35">
        <v>2.33</v>
      </c>
      <c r="F35">
        <f>O35/$A35</f>
        <v>237.38826934961415</v>
      </c>
      <c r="G35">
        <f>P35/$A35</f>
        <v>237.38826934961415</v>
      </c>
      <c r="J35">
        <v>2.33</v>
      </c>
      <c r="O35">
        <v>553.11466758460097</v>
      </c>
      <c r="P35">
        <v>553.11466758460097</v>
      </c>
    </row>
    <row r="36" spans="1:16" x14ac:dyDescent="0.2">
      <c r="A36">
        <v>2.34</v>
      </c>
      <c r="F36">
        <f>O36/$A36</f>
        <v>459.36673210035894</v>
      </c>
      <c r="G36">
        <f>P36/$A36</f>
        <v>459.36673210035894</v>
      </c>
      <c r="J36">
        <v>2.34</v>
      </c>
      <c r="O36">
        <v>1074.9181531148399</v>
      </c>
      <c r="P36">
        <v>1074.9181531148399</v>
      </c>
    </row>
    <row r="37" spans="1:16" x14ac:dyDescent="0.2">
      <c r="A37">
        <v>2.35</v>
      </c>
      <c r="F37">
        <f>O37/$A37</f>
        <v>838.31252898541277</v>
      </c>
      <c r="G37">
        <f>P37/$A37</f>
        <v>838.31252898541277</v>
      </c>
      <c r="J37">
        <v>2.35</v>
      </c>
      <c r="O37">
        <v>1970.03444311572</v>
      </c>
      <c r="P37">
        <v>1970.03444311572</v>
      </c>
    </row>
    <row r="59" spans="26:32" x14ac:dyDescent="0.2">
      <c r="Z59" s="2"/>
      <c r="AA59" s="2"/>
      <c r="AB59" s="2"/>
      <c r="AC59" s="2"/>
      <c r="AD59" s="2"/>
      <c r="AE59" s="2"/>
      <c r="AF59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0F4D-7EB4-7542-BD59-E91C36702B01}">
  <dimension ref="A1:L28"/>
  <sheetViews>
    <sheetView topLeftCell="E1" workbookViewId="0">
      <selection activeCell="Q1" sqref="Q1:Y1048576"/>
    </sheetView>
  </sheetViews>
  <sheetFormatPr baseColWidth="10" defaultRowHeight="16" x14ac:dyDescent="0.2"/>
  <sheetData>
    <row r="1" spans="1:12" x14ac:dyDescent="0.2">
      <c r="A1" t="s">
        <v>18</v>
      </c>
      <c r="B1" t="s">
        <v>4</v>
      </c>
      <c r="C1" s="1" t="s">
        <v>16</v>
      </c>
      <c r="D1" t="s">
        <v>13</v>
      </c>
      <c r="E1" s="1" t="s">
        <v>19</v>
      </c>
      <c r="H1" t="s">
        <v>18</v>
      </c>
      <c r="I1" t="s">
        <v>4</v>
      </c>
      <c r="J1" s="1" t="s">
        <v>16</v>
      </c>
      <c r="K1" t="s">
        <v>13</v>
      </c>
      <c r="L1" s="1" t="s">
        <v>19</v>
      </c>
    </row>
    <row r="2" spans="1:12" x14ac:dyDescent="0.2">
      <c r="A2">
        <v>1</v>
      </c>
      <c r="B2">
        <f>I2/$A2</f>
        <v>3.75596966514123</v>
      </c>
      <c r="C2">
        <f>J2/$A2</f>
        <v>2.2970952441416501</v>
      </c>
      <c r="D2">
        <f>K2/$A2</f>
        <v>2.1410734551694</v>
      </c>
      <c r="E2">
        <f>L2/$A2</f>
        <v>2.1140485715916801</v>
      </c>
      <c r="H2">
        <v>1</v>
      </c>
      <c r="I2">
        <v>3.75596966514123</v>
      </c>
      <c r="J2">
        <v>2.2970952441416501</v>
      </c>
      <c r="K2">
        <v>2.1410734551694</v>
      </c>
      <c r="L2">
        <v>2.1140485715916801</v>
      </c>
    </row>
    <row r="3" spans="1:12" x14ac:dyDescent="0.2">
      <c r="A3">
        <v>1.1000000000000001</v>
      </c>
      <c r="B3">
        <f>I3/$A3</f>
        <v>4.5368320479997264</v>
      </c>
      <c r="C3">
        <f>J3/$A3</f>
        <v>2.6462675604878543</v>
      </c>
      <c r="D3">
        <f>K3/$A3</f>
        <v>2.4270621495372269</v>
      </c>
      <c r="E3">
        <f>L3/$A3</f>
        <v>2.4058494240524637</v>
      </c>
      <c r="H3">
        <v>1.1000000000000001</v>
      </c>
      <c r="I3">
        <v>4.9905152527996997</v>
      </c>
      <c r="J3">
        <v>2.9108943165366399</v>
      </c>
      <c r="K3">
        <v>2.6697683644909498</v>
      </c>
      <c r="L3">
        <v>2.6464343664577101</v>
      </c>
    </row>
    <row r="4" spans="1:12" x14ac:dyDescent="0.2">
      <c r="A4">
        <v>1.2</v>
      </c>
      <c r="B4">
        <f>I4/$A4</f>
        <v>5.5553414604879841</v>
      </c>
      <c r="C4">
        <f>J4/$A4</f>
        <v>3.1211816726085253</v>
      </c>
      <c r="D4">
        <f>K4/$A4</f>
        <v>2.8016881935078914</v>
      </c>
      <c r="E4">
        <f>L4/$A4</f>
        <v>2.7990763256322748</v>
      </c>
      <c r="H4">
        <v>1.2</v>
      </c>
      <c r="I4">
        <v>6.6664097525855803</v>
      </c>
      <c r="J4">
        <v>3.7454180071302301</v>
      </c>
      <c r="K4">
        <v>3.3620258322094698</v>
      </c>
      <c r="L4">
        <v>3.3588915907587298</v>
      </c>
    </row>
    <row r="5" spans="1:12" x14ac:dyDescent="0.2">
      <c r="A5">
        <v>1.3</v>
      </c>
      <c r="B5">
        <f>I5/$A5</f>
        <v>6.9438521556176607</v>
      </c>
      <c r="C5">
        <f>J5/$A5</f>
        <v>3.824848683672692</v>
      </c>
      <c r="D5">
        <f>K5/$A5</f>
        <v>3.3122734885127074</v>
      </c>
      <c r="E5">
        <f>L5/$A5</f>
        <v>3.3680715933013845</v>
      </c>
      <c r="H5">
        <v>1.3</v>
      </c>
      <c r="I5">
        <v>9.0270078023029594</v>
      </c>
      <c r="J5">
        <v>4.9723032887744996</v>
      </c>
      <c r="K5">
        <v>4.30595553506652</v>
      </c>
      <c r="L5">
        <v>4.3784930712917998</v>
      </c>
    </row>
    <row r="6" spans="1:12" x14ac:dyDescent="0.2">
      <c r="A6">
        <v>1.4</v>
      </c>
      <c r="B6">
        <f>I6/$A6</f>
        <v>9.0298562711015009</v>
      </c>
      <c r="C6">
        <f>J6/$A6</f>
        <v>4.9607729667210219</v>
      </c>
      <c r="D6">
        <f>K6/$A6</f>
        <v>4.0588792263797284</v>
      </c>
      <c r="E6">
        <f>L6/$A6</f>
        <v>4.2460984375920292</v>
      </c>
      <c r="H6">
        <v>1.4</v>
      </c>
      <c r="I6">
        <v>12.6417987795421</v>
      </c>
      <c r="J6">
        <v>6.9450821534094302</v>
      </c>
      <c r="K6">
        <v>5.6824309169316196</v>
      </c>
      <c r="L6">
        <v>5.9445378126288402</v>
      </c>
    </row>
    <row r="7" spans="1:12" x14ac:dyDescent="0.2">
      <c r="A7">
        <v>1.5</v>
      </c>
      <c r="B7">
        <f>I7/$A7</f>
        <v>12.550705668194533</v>
      </c>
      <c r="C7">
        <f>J7/$A7</f>
        <v>7.1104999535169329</v>
      </c>
      <c r="D7">
        <f>K7/$A7</f>
        <v>5.2555717582766404</v>
      </c>
      <c r="E7">
        <f>L7/$A7</f>
        <v>5.7608888916873999</v>
      </c>
      <c r="H7">
        <v>1.5</v>
      </c>
      <c r="I7">
        <v>18.826058502291801</v>
      </c>
      <c r="J7">
        <v>10.6657499302754</v>
      </c>
      <c r="K7">
        <v>7.8833576374149601</v>
      </c>
      <c r="L7">
        <v>8.6413333375310994</v>
      </c>
    </row>
    <row r="8" spans="1:12" x14ac:dyDescent="0.2">
      <c r="A8">
        <v>1.6</v>
      </c>
      <c r="B8">
        <f>I8/$A8</f>
        <v>20.125421556366376</v>
      </c>
      <c r="C8">
        <f>J8/$A8</f>
        <v>12.47396264001225</v>
      </c>
      <c r="D8">
        <f>K8/$A8</f>
        <v>7.5830641198523745</v>
      </c>
      <c r="E8">
        <f>L8/$A8</f>
        <v>8.9868989247418121</v>
      </c>
      <c r="H8">
        <v>1.6</v>
      </c>
      <c r="I8">
        <v>32.200674490186202</v>
      </c>
      <c r="J8">
        <v>19.958340224019601</v>
      </c>
      <c r="K8">
        <v>12.1329025917638</v>
      </c>
      <c r="L8">
        <v>14.379038279586901</v>
      </c>
    </row>
    <row r="9" spans="1:12" x14ac:dyDescent="0.2">
      <c r="A9">
        <v>1.7</v>
      </c>
      <c r="B9">
        <f>I9/$A9</f>
        <v>46.745079401132294</v>
      </c>
      <c r="C9">
        <f>J9/$A9</f>
        <v>38.338639412820761</v>
      </c>
      <c r="D9">
        <f>K9/$A9</f>
        <v>14.416068512616766</v>
      </c>
      <c r="E9">
        <f>L9/$A9</f>
        <v>19.785689794295234</v>
      </c>
      <c r="H9">
        <v>1.7</v>
      </c>
      <c r="I9">
        <v>79.466634981924898</v>
      </c>
      <c r="J9">
        <v>65.175687001795296</v>
      </c>
      <c r="K9">
        <v>24.507316471448501</v>
      </c>
      <c r="L9">
        <v>33.635672650301899</v>
      </c>
    </row>
    <row r="10" spans="1:12" x14ac:dyDescent="0.2">
      <c r="A10">
        <v>1.71</v>
      </c>
      <c r="B10">
        <f>I10/$A10</f>
        <v>53.623891171327074</v>
      </c>
      <c r="C10">
        <f>J10/$A10</f>
        <v>45.620774243415262</v>
      </c>
      <c r="D10">
        <f>K10/$A10</f>
        <v>15.912430006404502</v>
      </c>
      <c r="E10">
        <f>L10/$A10</f>
        <v>22.385035072571579</v>
      </c>
      <c r="H10">
        <v>1.71</v>
      </c>
      <c r="I10">
        <v>91.696853902969295</v>
      </c>
      <c r="J10">
        <v>78.011523956240097</v>
      </c>
      <c r="K10">
        <v>27.210255310951698</v>
      </c>
      <c r="L10">
        <v>38.2784099740974</v>
      </c>
    </row>
    <row r="11" spans="1:12" x14ac:dyDescent="0.2">
      <c r="A11">
        <v>1.72</v>
      </c>
      <c r="B11">
        <f>I11/$A11</f>
        <v>62.764840625073255</v>
      </c>
      <c r="C11">
        <f>J11/$A11</f>
        <v>55.627147864831571</v>
      </c>
      <c r="D11">
        <f>K11/$A11</f>
        <v>17.836340834996744</v>
      </c>
      <c r="E11">
        <f>L11/$A11</f>
        <v>25.871322360233663</v>
      </c>
      <c r="H11">
        <v>1.72</v>
      </c>
      <c r="I11">
        <v>107.955525875126</v>
      </c>
      <c r="J11">
        <v>95.6786943275103</v>
      </c>
      <c r="K11">
        <v>30.678506236194401</v>
      </c>
      <c r="L11">
        <v>44.498674459601901</v>
      </c>
    </row>
    <row r="12" spans="1:12" x14ac:dyDescent="0.2">
      <c r="A12">
        <v>1.73</v>
      </c>
      <c r="B12">
        <f>I12/$A12</f>
        <v>76.155705838125428</v>
      </c>
      <c r="C12">
        <f>J12/$A12</f>
        <v>70.388489511995374</v>
      </c>
      <c r="D12">
        <f>K12/$A12</f>
        <v>20.230510964000345</v>
      </c>
      <c r="E12">
        <f>L12/$A12</f>
        <v>30.163902391347516</v>
      </c>
      <c r="H12">
        <v>1.73</v>
      </c>
      <c r="I12">
        <v>131.74937109995699</v>
      </c>
      <c r="J12">
        <v>121.77208685575199</v>
      </c>
      <c r="K12">
        <v>34.998783967720598</v>
      </c>
      <c r="L12">
        <v>52.183551137031202</v>
      </c>
    </row>
    <row r="13" spans="1:12" x14ac:dyDescent="0.2">
      <c r="A13">
        <v>1.74</v>
      </c>
      <c r="B13">
        <f>I13/$A13</f>
        <v>95.632303060781041</v>
      </c>
      <c r="C13">
        <f>J13/$A13</f>
        <v>95.151653247816668</v>
      </c>
      <c r="D13">
        <f>K13/$A13</f>
        <v>23.458235330150345</v>
      </c>
      <c r="E13">
        <f>L13/$A13</f>
        <v>35.902386808821376</v>
      </c>
      <c r="H13">
        <v>1.74</v>
      </c>
      <c r="I13">
        <v>166.400207325759</v>
      </c>
      <c r="J13">
        <v>165.56387665120101</v>
      </c>
      <c r="K13">
        <v>40.817329474461602</v>
      </c>
      <c r="L13">
        <v>62.4701530473492</v>
      </c>
    </row>
    <row r="14" spans="1:12" x14ac:dyDescent="0.2">
      <c r="A14">
        <v>1.75</v>
      </c>
      <c r="B14">
        <f>I14/$A14</f>
        <v>130.35200158684628</v>
      </c>
      <c r="C14">
        <f>J14/$A14</f>
        <v>142.7211716973143</v>
      </c>
      <c r="D14">
        <f>K14/$A14</f>
        <v>27.712879291551655</v>
      </c>
      <c r="E14">
        <f>L14/$A14</f>
        <v>43.736973496310398</v>
      </c>
      <c r="H14">
        <v>1.75</v>
      </c>
      <c r="I14">
        <v>228.11600277698099</v>
      </c>
      <c r="J14">
        <v>249.76205047030001</v>
      </c>
      <c r="K14">
        <v>48.497538760215399</v>
      </c>
      <c r="L14">
        <v>76.5397036185432</v>
      </c>
    </row>
    <row r="15" spans="1:12" x14ac:dyDescent="0.2">
      <c r="A15">
        <v>1.76</v>
      </c>
      <c r="B15">
        <f>I15/$A15</f>
        <v>204.26908916696988</v>
      </c>
      <c r="C15">
        <f>J15/$A15</f>
        <v>254.64903297733295</v>
      </c>
      <c r="D15">
        <f>K15/$A15</f>
        <v>33.629601638880914</v>
      </c>
      <c r="E15">
        <f>L15/$A15</f>
        <v>56.563605897152954</v>
      </c>
      <c r="H15">
        <v>1.76</v>
      </c>
      <c r="I15">
        <v>359.51359693386701</v>
      </c>
      <c r="J15">
        <v>448.18229804010599</v>
      </c>
      <c r="K15">
        <v>59.188098884430403</v>
      </c>
      <c r="L15">
        <v>99.5519463789892</v>
      </c>
    </row>
    <row r="16" spans="1:12" x14ac:dyDescent="0.2">
      <c r="A16">
        <v>1.77</v>
      </c>
      <c r="B16">
        <f>I16/$A16</f>
        <v>470.91738502773507</v>
      </c>
      <c r="C16">
        <f>J16/$A16</f>
        <v>625.73933887691521</v>
      </c>
      <c r="D16">
        <f>K16/$A16</f>
        <v>42.321869331534515</v>
      </c>
      <c r="E16">
        <f>L16/$A16</f>
        <v>84.932000997552535</v>
      </c>
      <c r="H16">
        <v>1.77</v>
      </c>
      <c r="I16">
        <v>833.52377149909103</v>
      </c>
      <c r="J16">
        <v>1107.55862981214</v>
      </c>
      <c r="K16">
        <v>74.909708716816098</v>
      </c>
      <c r="L16">
        <v>150.32964176566799</v>
      </c>
    </row>
    <row r="17" spans="1:12" x14ac:dyDescent="0.2">
      <c r="A17">
        <v>1.78</v>
      </c>
      <c r="D17">
        <f>K17/$A17</f>
        <v>56.678365490969107</v>
      </c>
      <c r="E17">
        <f>L17/$A17</f>
        <v>168.43247283404943</v>
      </c>
      <c r="H17">
        <v>1.78</v>
      </c>
      <c r="K17">
        <v>100.88749057392501</v>
      </c>
      <c r="L17">
        <v>299.809801644608</v>
      </c>
    </row>
    <row r="18" spans="1:12" x14ac:dyDescent="0.2">
      <c r="A18">
        <v>1.79</v>
      </c>
      <c r="D18">
        <f>K18/$A18</f>
        <v>92.854329833181566</v>
      </c>
      <c r="E18">
        <f>L18/$A18</f>
        <v>648.79300481850828</v>
      </c>
      <c r="H18">
        <v>1.79</v>
      </c>
      <c r="K18">
        <v>166.209250401395</v>
      </c>
      <c r="L18">
        <v>1161.3394786251299</v>
      </c>
    </row>
    <row r="19" spans="1:12" x14ac:dyDescent="0.2">
      <c r="A19">
        <v>1.8</v>
      </c>
      <c r="D19">
        <f>K19/$A19</f>
        <v>230.56330174342165</v>
      </c>
      <c r="H19">
        <v>1.8</v>
      </c>
      <c r="K19">
        <v>415.01394313815899</v>
      </c>
    </row>
    <row r="20" spans="1:12" x14ac:dyDescent="0.2">
      <c r="A20">
        <v>1.81</v>
      </c>
      <c r="D20">
        <f>K20/$A20</f>
        <v>821.93068439631497</v>
      </c>
      <c r="H20">
        <v>1.81</v>
      </c>
      <c r="K20">
        <v>1487.6945387573301</v>
      </c>
    </row>
    <row r="21" spans="1:12" x14ac:dyDescent="0.2">
      <c r="A21">
        <v>1.82</v>
      </c>
      <c r="H21">
        <v>1.82</v>
      </c>
    </row>
    <row r="22" spans="1:12" x14ac:dyDescent="0.2">
      <c r="A22">
        <v>1.83</v>
      </c>
      <c r="H22">
        <v>1.83</v>
      </c>
    </row>
    <row r="23" spans="1:12" x14ac:dyDescent="0.2">
      <c r="A23">
        <v>1.84</v>
      </c>
      <c r="H23">
        <v>1.84</v>
      </c>
    </row>
    <row r="24" spans="1:12" x14ac:dyDescent="0.2">
      <c r="A24">
        <v>1.85</v>
      </c>
      <c r="H24">
        <v>1.85</v>
      </c>
    </row>
    <row r="25" spans="1:12" x14ac:dyDescent="0.2">
      <c r="A25">
        <v>1.86</v>
      </c>
      <c r="H25">
        <v>1.86</v>
      </c>
    </row>
    <row r="26" spans="1:12" x14ac:dyDescent="0.2">
      <c r="A26">
        <v>1.87</v>
      </c>
      <c r="H26">
        <v>1.87</v>
      </c>
    </row>
    <row r="27" spans="1:12" x14ac:dyDescent="0.2">
      <c r="A27">
        <v>1.88</v>
      </c>
      <c r="H27">
        <v>1.88</v>
      </c>
    </row>
    <row r="28" spans="1:12" x14ac:dyDescent="0.2">
      <c r="A28">
        <v>1.89</v>
      </c>
      <c r="H28">
        <v>1.89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406F-5E6A-C041-9CC8-8FC8E568D111}">
  <dimension ref="A1:L19"/>
  <sheetViews>
    <sheetView tabSelected="1" zoomScale="59" workbookViewId="0">
      <selection activeCell="Z30" sqref="Z30"/>
    </sheetView>
  </sheetViews>
  <sheetFormatPr baseColWidth="10" defaultRowHeight="16" x14ac:dyDescent="0.2"/>
  <sheetData>
    <row r="1" spans="1:12" x14ac:dyDescent="0.2">
      <c r="A1" t="s">
        <v>18</v>
      </c>
      <c r="B1" t="s">
        <v>5</v>
      </c>
      <c r="C1" s="1" t="s">
        <v>17</v>
      </c>
      <c r="D1" t="s">
        <v>14</v>
      </c>
      <c r="E1" s="1" t="s">
        <v>20</v>
      </c>
      <c r="H1" t="s">
        <v>18</v>
      </c>
      <c r="I1" t="s">
        <v>5</v>
      </c>
      <c r="J1" s="1" t="s">
        <v>17</v>
      </c>
      <c r="K1" t="s">
        <v>14</v>
      </c>
      <c r="L1" s="1" t="s">
        <v>20</v>
      </c>
    </row>
    <row r="2" spans="1:12" x14ac:dyDescent="0.2">
      <c r="A2">
        <v>1</v>
      </c>
      <c r="B2">
        <f>I2/$A2</f>
        <v>4.7732349769468403</v>
      </c>
      <c r="C2">
        <f>J2/$A2</f>
        <v>2.3268587446418398</v>
      </c>
      <c r="D2">
        <f>K2/$A2</f>
        <v>2.10132734729005</v>
      </c>
      <c r="E2">
        <f>L2/$A2</f>
        <v>2.21531702723941</v>
      </c>
      <c r="H2">
        <v>1</v>
      </c>
      <c r="I2">
        <v>4.7732349769468403</v>
      </c>
      <c r="J2">
        <v>2.3268587446418398</v>
      </c>
      <c r="K2">
        <v>2.10132734729005</v>
      </c>
      <c r="L2">
        <v>2.21531702723941</v>
      </c>
    </row>
    <row r="3" spans="1:12" x14ac:dyDescent="0.2">
      <c r="A3">
        <v>1.1000000000000001</v>
      </c>
      <c r="B3">
        <f>I3/$A3</f>
        <v>6.0328340832856178</v>
      </c>
      <c r="C3">
        <f>J3/$A3</f>
        <v>2.6849661893094456</v>
      </c>
      <c r="D3">
        <f>K3/$A3</f>
        <v>2.3731210620194361</v>
      </c>
      <c r="E3">
        <f>L3/$A3</f>
        <v>2.5393675974235999</v>
      </c>
      <c r="H3">
        <v>1.1000000000000001</v>
      </c>
      <c r="I3">
        <v>6.6361174916141801</v>
      </c>
      <c r="J3">
        <v>2.9534628082403902</v>
      </c>
      <c r="K3">
        <v>2.6104331682213799</v>
      </c>
      <c r="L3">
        <v>2.7933043571659599</v>
      </c>
    </row>
    <row r="4" spans="1:12" x14ac:dyDescent="0.2">
      <c r="A4">
        <v>1.2</v>
      </c>
      <c r="B4">
        <f>I4/$A4</f>
        <v>7.6514955403773</v>
      </c>
      <c r="C4">
        <f>J4/$A4</f>
        <v>3.1604251891721331</v>
      </c>
      <c r="D4">
        <f>K4/$A4</f>
        <v>2.7273497051226085</v>
      </c>
      <c r="E4">
        <f>L4/$A4</f>
        <v>2.9678005290086586</v>
      </c>
      <c r="H4">
        <v>1.2</v>
      </c>
      <c r="I4">
        <v>9.1817946484527599</v>
      </c>
      <c r="J4">
        <v>3.7925102270065598</v>
      </c>
      <c r="K4">
        <v>3.2728196461471302</v>
      </c>
      <c r="L4">
        <v>3.5613606348103901</v>
      </c>
    </row>
    <row r="5" spans="1:12" x14ac:dyDescent="0.2">
      <c r="A5">
        <v>1.3</v>
      </c>
      <c r="B5">
        <f>I5/$A5</f>
        <v>9.7547280633372306</v>
      </c>
      <c r="C5">
        <f>J5/$A5</f>
        <v>3.8209282949887617</v>
      </c>
      <c r="D5">
        <f>K5/$A5</f>
        <v>3.2024682784085305</v>
      </c>
      <c r="E5">
        <f>L5/$A5</f>
        <v>3.5607750358177768</v>
      </c>
      <c r="H5">
        <v>1.3</v>
      </c>
      <c r="I5">
        <v>12.6811464823384</v>
      </c>
      <c r="J5">
        <v>4.9672067834853904</v>
      </c>
      <c r="K5">
        <v>4.1632087619310898</v>
      </c>
      <c r="L5">
        <v>4.62900754656311</v>
      </c>
    </row>
    <row r="6" spans="1:12" x14ac:dyDescent="0.2">
      <c r="A6">
        <v>1.4</v>
      </c>
      <c r="B6">
        <f>I6/$A6</f>
        <v>12.57472034465</v>
      </c>
      <c r="C6">
        <f>J6/$A6</f>
        <v>4.7925044261770715</v>
      </c>
      <c r="D6">
        <f>K6/$A6</f>
        <v>3.8749851886146858</v>
      </c>
      <c r="E6">
        <f>L6/$A6</f>
        <v>4.4379812235541074</v>
      </c>
      <c r="H6">
        <v>1.4</v>
      </c>
      <c r="I6">
        <v>17.604608482509999</v>
      </c>
      <c r="J6">
        <v>6.7095061966478999</v>
      </c>
      <c r="K6">
        <v>5.4249792640605596</v>
      </c>
      <c r="L6">
        <v>6.2131737129757498</v>
      </c>
    </row>
    <row r="7" spans="1:12" x14ac:dyDescent="0.2">
      <c r="A7">
        <v>1.5</v>
      </c>
      <c r="B7">
        <f>I7/$A7</f>
        <v>16.808232721570132</v>
      </c>
      <c r="C7">
        <f>J7/$A7</f>
        <v>6.36333492694596</v>
      </c>
      <c r="D7">
        <f>K7/$A7</f>
        <v>4.8893867907167001</v>
      </c>
      <c r="E7">
        <f>L7/$A7</f>
        <v>5.8398191888857864</v>
      </c>
      <c r="H7">
        <v>1.5</v>
      </c>
      <c r="I7">
        <v>25.2123490823552</v>
      </c>
      <c r="J7">
        <v>9.5450023904189401</v>
      </c>
      <c r="K7">
        <v>7.3340801860750497</v>
      </c>
      <c r="L7">
        <v>8.7597287833286792</v>
      </c>
    </row>
    <row r="8" spans="1:12" x14ac:dyDescent="0.2">
      <c r="A8">
        <v>1.6</v>
      </c>
      <c r="B8">
        <f>I8/$A8</f>
        <v>24.040998232314124</v>
      </c>
      <c r="C8">
        <f>J8/$A8</f>
        <v>9.4165777761891238</v>
      </c>
      <c r="D8">
        <f>K8/$A8</f>
        <v>6.5794103582037495</v>
      </c>
      <c r="E8">
        <f>L8/$A8</f>
        <v>8.5032133215491239</v>
      </c>
      <c r="H8">
        <v>1.6</v>
      </c>
      <c r="I8">
        <v>38.465597171702598</v>
      </c>
      <c r="J8">
        <v>15.066524441902599</v>
      </c>
      <c r="K8">
        <v>10.527056573126</v>
      </c>
      <c r="L8">
        <v>13.605141314478599</v>
      </c>
    </row>
    <row r="9" spans="1:12" x14ac:dyDescent="0.2">
      <c r="A9">
        <v>1.7</v>
      </c>
      <c r="B9">
        <f>I9/$A9</f>
        <v>39.350167436755122</v>
      </c>
      <c r="C9">
        <f>J9/$A9</f>
        <v>17.484755232838882</v>
      </c>
      <c r="D9">
        <f>K9/$A9</f>
        <v>10.200617525443294</v>
      </c>
      <c r="E9">
        <f>L9/$A9</f>
        <v>15.250409294054119</v>
      </c>
      <c r="H9">
        <v>1.7</v>
      </c>
      <c r="I9">
        <v>66.895284642483702</v>
      </c>
      <c r="J9">
        <v>29.724083895826102</v>
      </c>
      <c r="K9">
        <v>17.3410497932536</v>
      </c>
      <c r="L9">
        <v>25.925695799892001</v>
      </c>
    </row>
    <row r="10" spans="1:12" x14ac:dyDescent="0.2">
      <c r="A10">
        <v>1.8</v>
      </c>
      <c r="B10">
        <f>I10/$A10</f>
        <v>89.811099185403322</v>
      </c>
      <c r="C10">
        <f>J10/$A10</f>
        <v>55.162004770736715</v>
      </c>
      <c r="D10">
        <f>K10/$A10</f>
        <v>22.679538442223055</v>
      </c>
      <c r="E10">
        <f>L10/$A10</f>
        <v>45.039522444888604</v>
      </c>
      <c r="H10">
        <v>1.8</v>
      </c>
      <c r="I10">
        <v>161.65997853372599</v>
      </c>
      <c r="J10">
        <v>99.291608587326095</v>
      </c>
      <c r="K10">
        <v>40.823169196001501</v>
      </c>
      <c r="L10">
        <v>81.071140400799493</v>
      </c>
    </row>
    <row r="11" spans="1:12" x14ac:dyDescent="0.2">
      <c r="A11">
        <v>1.81</v>
      </c>
      <c r="B11">
        <f>I11/$A11</f>
        <v>101.85467647680497</v>
      </c>
      <c r="C11">
        <f>J11/$A11</f>
        <v>65.684957501018786</v>
      </c>
      <c r="D11">
        <f>K11/$A11</f>
        <v>25.856502341829831</v>
      </c>
      <c r="E11">
        <f>L11/$A11</f>
        <v>52.957677060154694</v>
      </c>
      <c r="H11">
        <v>1.81</v>
      </c>
      <c r="I11">
        <v>184.35696442301699</v>
      </c>
      <c r="J11">
        <v>118.88977307684399</v>
      </c>
      <c r="K11">
        <v>46.800269238711998</v>
      </c>
      <c r="L11">
        <v>95.853395478880003</v>
      </c>
    </row>
    <row r="12" spans="1:12" x14ac:dyDescent="0.2">
      <c r="A12">
        <v>1.82</v>
      </c>
      <c r="B12">
        <f>I12/$A12</f>
        <v>117.4324303763868</v>
      </c>
      <c r="C12">
        <f>J12/$A12</f>
        <v>80.5918596355978</v>
      </c>
      <c r="D12">
        <f>K12/$A12</f>
        <v>29.913884961196043</v>
      </c>
      <c r="E12">
        <f>L12/$A12</f>
        <v>63.225703568318679</v>
      </c>
      <c r="H12">
        <v>1.82</v>
      </c>
      <c r="I12">
        <v>213.72702328502399</v>
      </c>
      <c r="J12">
        <v>146.67718453678799</v>
      </c>
      <c r="K12">
        <v>54.443270629376798</v>
      </c>
      <c r="L12">
        <v>115.07078049434</v>
      </c>
    </row>
    <row r="13" spans="1:12" x14ac:dyDescent="0.2">
      <c r="A13">
        <v>1.83</v>
      </c>
      <c r="B13">
        <f>I13/$A13</f>
        <v>138.66512972834971</v>
      </c>
      <c r="C13">
        <f>J13/$A13</f>
        <v>102.37324868800874</v>
      </c>
      <c r="D13">
        <f>K13/$A13</f>
        <v>35.225565947348962</v>
      </c>
      <c r="E13">
        <f>L13/$A13</f>
        <v>78.530413543939332</v>
      </c>
      <c r="H13">
        <v>1.83</v>
      </c>
      <c r="I13">
        <v>253.75718740287999</v>
      </c>
      <c r="J13">
        <v>187.34304509905601</v>
      </c>
      <c r="K13">
        <v>64.462785683648605</v>
      </c>
      <c r="L13">
        <v>143.71065678540899</v>
      </c>
    </row>
    <row r="14" spans="1:12" x14ac:dyDescent="0.2">
      <c r="A14">
        <v>1.84</v>
      </c>
      <c r="B14">
        <f>I14/$A14</f>
        <v>169.12155948349346</v>
      </c>
      <c r="C14">
        <f>J14/$A14</f>
        <v>135.94054560017662</v>
      </c>
      <c r="D14">
        <f>K14/$A14</f>
        <v>42.44413415916511</v>
      </c>
      <c r="E14">
        <f>L14/$A14</f>
        <v>102.16936052678479</v>
      </c>
      <c r="H14">
        <v>1.84</v>
      </c>
      <c r="I14">
        <v>311.18366944962798</v>
      </c>
      <c r="J14">
        <v>250.130603904325</v>
      </c>
      <c r="K14">
        <v>78.097206852863806</v>
      </c>
      <c r="L14">
        <v>187.99162336928401</v>
      </c>
    </row>
    <row r="15" spans="1:12" x14ac:dyDescent="0.2">
      <c r="A15">
        <v>1.85</v>
      </c>
      <c r="B15">
        <f>I15/$A15</f>
        <v>218.09704055529892</v>
      </c>
      <c r="C15">
        <f>J15/$A15</f>
        <v>191.83597925739619</v>
      </c>
      <c r="D15">
        <f>K15/$A15</f>
        <v>53.049556199952264</v>
      </c>
      <c r="E15">
        <f>L15/$A15</f>
        <v>141.88949083156757</v>
      </c>
      <c r="H15">
        <v>1.85</v>
      </c>
      <c r="I15">
        <v>403.479525027303</v>
      </c>
      <c r="J15">
        <v>354.89656162618297</v>
      </c>
      <c r="K15">
        <v>98.141678969911695</v>
      </c>
      <c r="L15">
        <v>262.49555803840002</v>
      </c>
    </row>
    <row r="16" spans="1:12" x14ac:dyDescent="0.2">
      <c r="A16">
        <v>1.86</v>
      </c>
      <c r="B16">
        <f>I16/$A16</f>
        <v>309.27422057955965</v>
      </c>
      <c r="C16">
        <f>J16/$A16</f>
        <v>303.27771913323221</v>
      </c>
      <c r="D16">
        <f>K16/$A16</f>
        <v>73.726075450642469</v>
      </c>
      <c r="E16">
        <f>L16/$A16</f>
        <v>214.97326402615965</v>
      </c>
      <c r="H16">
        <v>1.86</v>
      </c>
      <c r="I16">
        <v>575.25005027798102</v>
      </c>
      <c r="J16">
        <v>564.09655758781196</v>
      </c>
      <c r="K16">
        <v>137.13050033819499</v>
      </c>
      <c r="L16">
        <v>399.850271088657</v>
      </c>
    </row>
    <row r="17" spans="1:12" x14ac:dyDescent="0.2">
      <c r="A17">
        <v>1.87</v>
      </c>
      <c r="B17">
        <f>I17/$A17</f>
        <v>503.99382151635933</v>
      </c>
      <c r="C17">
        <f>J17/$A17</f>
        <v>576.13859668734221</v>
      </c>
      <c r="D17">
        <f>K17/$A17</f>
        <v>121.62301044379625</v>
      </c>
      <c r="E17">
        <f>L17/$A17</f>
        <v>408.93273483309463</v>
      </c>
      <c r="H17">
        <v>1.87</v>
      </c>
      <c r="I17">
        <v>942.46844623559195</v>
      </c>
      <c r="J17">
        <v>1077.3791758053301</v>
      </c>
      <c r="K17">
        <v>227.435029529899</v>
      </c>
      <c r="L17">
        <v>764.70421413788699</v>
      </c>
    </row>
    <row r="18" spans="1:12" x14ac:dyDescent="0.2">
      <c r="A18">
        <v>1.88</v>
      </c>
      <c r="B18">
        <f>I18/$A18</f>
        <v>920.76581325442555</v>
      </c>
      <c r="D18">
        <f>K18/$A18</f>
        <v>328.17057935669999</v>
      </c>
      <c r="E18">
        <f>L18/$A18</f>
        <v>874.31103768381388</v>
      </c>
      <c r="H18">
        <v>1.88</v>
      </c>
      <c r="I18">
        <v>1731.03972891832</v>
      </c>
      <c r="K18">
        <v>616.96068919059599</v>
      </c>
      <c r="L18">
        <v>1643.7047508455701</v>
      </c>
    </row>
    <row r="19" spans="1:12" x14ac:dyDescent="0.2">
      <c r="A19">
        <v>1.89</v>
      </c>
      <c r="D19">
        <f>K19/$A19</f>
        <v>852.551620813672</v>
      </c>
      <c r="H19">
        <v>1.89</v>
      </c>
      <c r="K19">
        <v>1611.3225633378399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Uniform-MW</vt:lpstr>
      <vt:lpstr>Uniform-MWBack</vt:lpstr>
      <vt:lpstr>Uniform-Comp</vt:lpstr>
      <vt:lpstr>TN(0.5,1)-EMW</vt:lpstr>
      <vt:lpstr>TN(0.5,1)-Test</vt:lpstr>
      <vt:lpstr>Tri(1)-test</vt:lpstr>
      <vt:lpstr>Blomax(2,1)</vt:lpstr>
      <vt:lpstr>Borg_Memory_Rescaled</vt:lpstr>
      <vt:lpstr>Borg_CPU_Rescaled</vt:lpstr>
      <vt:lpstr>IsoTri</vt:lpstr>
      <vt:lpstr>8-Comp</vt:lpstr>
      <vt:lpstr>16-Comp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Heyuan Yao</dc:creator>
  <cp:lastModifiedBy>Heyuan Yao</cp:lastModifiedBy>
  <dcterms:created xsi:type="dcterms:W3CDTF">2025-07-28T07:04:10Z</dcterms:created>
  <dcterms:modified xsi:type="dcterms:W3CDTF">2026-05-20T21:36:23Z</dcterms:modified>
</cp:coreProperties>
</file>